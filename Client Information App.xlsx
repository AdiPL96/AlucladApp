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yte\PycharmProjects\AlucladApp\"/>
    </mc:Choice>
  </mc:AlternateContent>
  <xr:revisionPtr revIDLastSave="0" documentId="13_ncr:1_{94B3ECF8-2B45-4DE2-A145-F75FE2F87FCF}" xr6:coauthVersionLast="47" xr6:coauthVersionMax="47" xr10:uidLastSave="{00000000-0000-0000-0000-000000000000}"/>
  <bookViews>
    <workbookView xWindow="-120" yWindow="-120" windowWidth="38640" windowHeight="21120" tabRatio="768" xr2:uid="{00000000-000D-0000-FFFF-FFFF00000000}"/>
  </bookViews>
  <sheets>
    <sheet name="CRM_main" sheetId="2" r:id="rId1"/>
    <sheet name="VRP" sheetId="24" r:id="rId2"/>
    <sheet name="Aurora" sheetId="23" r:id="rId3"/>
    <sheet name="Roytec" sheetId="22" r:id="rId4"/>
    <sheet name="FC Direct" sheetId="21" r:id="rId5"/>
    <sheet name="Tanner Homes" sheetId="20" r:id="rId6"/>
    <sheet name="Craft Interior Limited" sheetId="18" r:id="rId7"/>
    <sheet name="Fleetwood" sheetId="17" r:id="rId8"/>
    <sheet name="Roswick" sheetId="16" r:id="rId9"/>
    <sheet name="RDE" sheetId="14" r:id="rId10"/>
    <sheet name="Marco" sheetId="13" r:id="rId11"/>
    <sheet name="Bifold Door" sheetId="12" r:id="rId12"/>
    <sheet name="Kladworx" sheetId="11" r:id="rId13"/>
    <sheet name="Raw" sheetId="10" r:id="rId14"/>
    <sheet name="Eurowindows" sheetId="9" r:id="rId15"/>
    <sheet name="Awesome Construction" sheetId="8" r:id="rId16"/>
    <sheet name="FCS" sheetId="3" r:id="rId17"/>
    <sheet name="AJE" sheetId="4" r:id="rId18"/>
    <sheet name="Rusgold" sheetId="5" r:id="rId19"/>
    <sheet name="MBP Facades" sheetId="6" r:id="rId20"/>
    <sheet name="QUBA" sheetId="7" r:id="rId21"/>
    <sheet name="EK Construction" sheetId="1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K19" i="2"/>
  <c r="K18" i="2"/>
  <c r="K17" i="2" l="1"/>
  <c r="K16" i="2"/>
  <c r="K15" i="2" l="1"/>
  <c r="K14" i="2" l="1"/>
  <c r="K13" i="2" l="1"/>
  <c r="K12" i="2"/>
  <c r="K11" i="2"/>
  <c r="K10" i="2"/>
  <c r="K9" i="2"/>
  <c r="K8" i="2" l="1"/>
  <c r="K7" i="2"/>
  <c r="K6" i="2"/>
  <c r="K5" i="2"/>
  <c r="K4" i="2" l="1"/>
  <c r="K3" i="2" l="1"/>
  <c r="K1" i="24" l="1"/>
  <c r="K1" i="23" l="1"/>
  <c r="K2" i="2" l="1"/>
  <c r="K1" i="22" l="1"/>
  <c r="K1" i="21" l="1"/>
  <c r="K5" i="6" l="1"/>
  <c r="K11" i="3" l="1"/>
  <c r="K3" i="11" l="1"/>
  <c r="Q1" i="18" l="1"/>
  <c r="K1" i="17" l="1"/>
  <c r="K2" i="11" l="1"/>
  <c r="K1" i="16"/>
  <c r="K2" i="9"/>
  <c r="K7" i="3"/>
  <c r="K8" i="3"/>
  <c r="K2" i="12"/>
  <c r="K2" i="13"/>
  <c r="K6" i="3"/>
  <c r="K1" i="13" l="1"/>
  <c r="K1" i="12" l="1"/>
  <c r="K1" i="11" l="1"/>
  <c r="K1" i="10" l="1"/>
  <c r="K1" i="9"/>
  <c r="K5" i="3"/>
  <c r="K2" i="6" l="1"/>
  <c r="K4" i="3"/>
  <c r="K2" i="3"/>
  <c r="K3" i="4" l="1"/>
</calcChain>
</file>

<file path=xl/sharedStrings.xml><?xml version="1.0" encoding="utf-8"?>
<sst xmlns="http://schemas.openxmlformats.org/spreadsheetml/2006/main" count="703" uniqueCount="350">
  <si>
    <t>Ready to dispatch</t>
  </si>
  <si>
    <t>Painting/ none if mill finish</t>
  </si>
  <si>
    <t>Pass to production</t>
  </si>
  <si>
    <t>In production</t>
  </si>
  <si>
    <t>AJE Facades</t>
  </si>
  <si>
    <t>W12 7RH</t>
  </si>
  <si>
    <t>Depod Road</t>
  </si>
  <si>
    <t>64 Wood Lane</t>
  </si>
  <si>
    <t>White City</t>
  </si>
  <si>
    <t>W12 7RQ</t>
  </si>
  <si>
    <t>XXX</t>
  </si>
  <si>
    <t xml:space="preserve">White City </t>
  </si>
  <si>
    <t>SO1327</t>
  </si>
  <si>
    <t>Bishop Avenue</t>
  </si>
  <si>
    <t>Mary Neuner Road</t>
  </si>
  <si>
    <t>C/O St William</t>
  </si>
  <si>
    <t>Block E1 &amp; E3</t>
  </si>
  <si>
    <t>Clarendon Road</t>
  </si>
  <si>
    <t>AJE Facades
Clarendon Road Block E1 &amp; E3
C/O St William, Mary Neuner road
Wood Green
N8 0NW</t>
  </si>
  <si>
    <t>SM1 4LD</t>
  </si>
  <si>
    <t>Sutton Park House</t>
  </si>
  <si>
    <t>N8 0NW</t>
  </si>
  <si>
    <t>Wood Green</t>
  </si>
  <si>
    <t>Dispatch</t>
  </si>
  <si>
    <t>PPC</t>
  </si>
  <si>
    <t>Production</t>
  </si>
  <si>
    <t>Current Update</t>
  </si>
  <si>
    <t>Estimated Delivery Date</t>
  </si>
  <si>
    <t>PO Date</t>
  </si>
  <si>
    <t>Delivery Adress</t>
  </si>
  <si>
    <t>Post Code</t>
  </si>
  <si>
    <t>Phase</t>
  </si>
  <si>
    <t>Status</t>
  </si>
  <si>
    <t>Materials</t>
  </si>
  <si>
    <t>Client PO</t>
  </si>
  <si>
    <t>Project SO</t>
  </si>
  <si>
    <t>Project</t>
  </si>
  <si>
    <t>SO1324</t>
  </si>
  <si>
    <t>DT157</t>
  </si>
  <si>
    <t>Windows Cills L2 &amp; L3</t>
  </si>
  <si>
    <t>PO1069</t>
  </si>
  <si>
    <t>Spandrel Panels and Flashings</t>
  </si>
  <si>
    <t>UB6 8UH</t>
  </si>
  <si>
    <t>SO1328</t>
  </si>
  <si>
    <t>PO1070</t>
  </si>
  <si>
    <t>Louvres Panels</t>
  </si>
  <si>
    <t>SO1329</t>
  </si>
  <si>
    <t>CA2678</t>
  </si>
  <si>
    <t>C-Profiles</t>
  </si>
  <si>
    <t>White City
64 Wood Lane, Depod Road
W12 7RH 
AJE Facades C/O St James</t>
  </si>
  <si>
    <t>In Production</t>
  </si>
  <si>
    <t>Stroudley Walk</t>
  </si>
  <si>
    <t>McCabe Court</t>
  </si>
  <si>
    <t>E3 3EW</t>
  </si>
  <si>
    <t>E16 4HE</t>
  </si>
  <si>
    <t>McAleer &amp; Rushe Contracts UK Ltd
(For FCS Facades)
Stroudley Walk
E3 3EW</t>
  </si>
  <si>
    <t>Vistry Group Plc
(For FCS Facades)
McCabe Court
Barking Road
E16 4HE</t>
  </si>
  <si>
    <t>Cill Pressings</t>
  </si>
  <si>
    <t>SO1392</t>
  </si>
  <si>
    <t>Littlehampton</t>
  </si>
  <si>
    <t>SO1393</t>
  </si>
  <si>
    <t>Cill Flashing Prod. 2</t>
  </si>
  <si>
    <t>BN17 6FE</t>
  </si>
  <si>
    <t>MPB Facades Ltd
BokLok Bulding Site
Littlehampton
Fitzalan Road
Littlehampton
BN17 6FE</t>
  </si>
  <si>
    <t>SO1394</t>
  </si>
  <si>
    <t>In PPC</t>
  </si>
  <si>
    <t>Copings Gold Finish</t>
  </si>
  <si>
    <t>TBC</t>
  </si>
  <si>
    <t>Raw Materials Music</t>
  </si>
  <si>
    <t>SO1398</t>
  </si>
  <si>
    <t>Fins, Angle &amp; Stop Ends</t>
  </si>
  <si>
    <t>On Hold</t>
  </si>
  <si>
    <t>SW9 0DJ</t>
  </si>
  <si>
    <t>Raw Material Music &amp; Media Education
2 Robsart St
SW9 0DJ</t>
  </si>
  <si>
    <t>Wembley</t>
  </si>
  <si>
    <t>FCS Facades
McAleer &amp; Rushe Contracts UK
10 Fulton Road, Wembley
London, HA9 0GB</t>
  </si>
  <si>
    <t>The Whitestable School</t>
  </si>
  <si>
    <t>SO1412</t>
  </si>
  <si>
    <t>Pressings</t>
  </si>
  <si>
    <t>SS17 0JJ</t>
  </si>
  <si>
    <t>EuroWindows Ltd
Poley Road
Stanford-Le-Hope
Essex, SS17 0JJ</t>
  </si>
  <si>
    <t>SO1414</t>
  </si>
  <si>
    <t>Angle Pressing</t>
  </si>
  <si>
    <t>HA9 0GB</t>
  </si>
  <si>
    <t>Greenwich High Rd</t>
  </si>
  <si>
    <t>SO1423</t>
  </si>
  <si>
    <t>PO00345</t>
  </si>
  <si>
    <t>Copings</t>
  </si>
  <si>
    <t>SE10 8JL</t>
  </si>
  <si>
    <t>Kladworx Ltd
27 Greenwich High Rd
London
SE10 8JL</t>
  </si>
  <si>
    <t>RUSGOLD MANUFACTURING LTD
Sutton Park House, 15 Carshalton Road 
SM1 4LD</t>
  </si>
  <si>
    <t>Tunbridge Wells</t>
  </si>
  <si>
    <t>SO-1430</t>
  </si>
  <si>
    <t>PO2068</t>
  </si>
  <si>
    <t>Linkbridge Perforated Panels</t>
  </si>
  <si>
    <t>TN4 9NT</t>
  </si>
  <si>
    <t>FAO - Quba Construction
Limited HG Site
36-40 St Johns Site
Tunbridge Wells
Kent, TN4 9NT</t>
  </si>
  <si>
    <t>BDF Showroom</t>
  </si>
  <si>
    <t>UB7 7HQ</t>
  </si>
  <si>
    <t>Bifold Door Factory Ltd.
Bingley The Common
West Drayton
UB7 7HQ</t>
  </si>
  <si>
    <t>SO-1435</t>
  </si>
  <si>
    <t>C-Channel Pressings</t>
  </si>
  <si>
    <t>BDFA0035</t>
  </si>
  <si>
    <t>SO-1441</t>
  </si>
  <si>
    <t>BDFMO-359</t>
  </si>
  <si>
    <t xml:space="preserve">Cills </t>
  </si>
  <si>
    <t>Angles</t>
  </si>
  <si>
    <t>IQ Aldgate</t>
  </si>
  <si>
    <t>SO-1447</t>
  </si>
  <si>
    <t>PO0167996-1</t>
  </si>
  <si>
    <t>Soffit Panels Prod. 2</t>
  </si>
  <si>
    <t>ME10 1WZ</t>
  </si>
  <si>
    <t>Marco Industries
A Trading Division Of Vink UK Ltd
Units 1-2
152 Staplehurst Road
Sittingbourne, ME10 1WZ</t>
  </si>
  <si>
    <t>CSH Leeds</t>
  </si>
  <si>
    <t>SO-1448</t>
  </si>
  <si>
    <t>LS1 4HT</t>
  </si>
  <si>
    <t>McAleer &amp; Rushe Contracts UK Ltd
City Square House
51 Aire Street
Leeds
LS1 4HT</t>
  </si>
  <si>
    <t>SO-1449</t>
  </si>
  <si>
    <t>Butt Straps</t>
  </si>
  <si>
    <t>Ready to Dispatch</t>
  </si>
  <si>
    <t>SO-1451</t>
  </si>
  <si>
    <t>SO-1452</t>
  </si>
  <si>
    <t>Tablot Mill</t>
  </si>
  <si>
    <t>SO-1453</t>
  </si>
  <si>
    <t>Additional Brackets</t>
  </si>
  <si>
    <t>Windows Z-Brackets</t>
  </si>
  <si>
    <t>Flashing &amp; C-Profiles</t>
  </si>
  <si>
    <t>M15 4JY</t>
  </si>
  <si>
    <t>CR Construction Limited
Talbot Mill
Ellesmere Street
M15 4JY, Manchester</t>
  </si>
  <si>
    <t>Galvanized</t>
  </si>
  <si>
    <t>Buckingham Palace</t>
  </si>
  <si>
    <t>ROS404/28244</t>
  </si>
  <si>
    <t>Genome Campus</t>
  </si>
  <si>
    <t>SO-1459</t>
  </si>
  <si>
    <t>PO00365</t>
  </si>
  <si>
    <t>Cladding Panels &amp; Portal</t>
  </si>
  <si>
    <t>CB10 1SA</t>
  </si>
  <si>
    <t>Beardwell Construction (Site)
Kladworx Ltd
Wilcome Genome Campus
Thornton Connectivity
CB10 1SA</t>
  </si>
  <si>
    <t>Fulbeck Avenue</t>
  </si>
  <si>
    <t>SO-1468</t>
  </si>
  <si>
    <t>BN13 3RS</t>
  </si>
  <si>
    <t>MPB Facades Ltd
BokLok Building Site
Fulbeck Avenue
Worthing
BN13 3RS</t>
  </si>
  <si>
    <t>SO-1502</t>
  </si>
  <si>
    <t>Flashings</t>
  </si>
  <si>
    <t>Woodlands Chase</t>
  </si>
  <si>
    <t>PO0173636-3</t>
  </si>
  <si>
    <t>PO15 7FG</t>
  </si>
  <si>
    <t>C/O New Build Carpentry
Taylor Wimpey
Woodlands Chase Phase 3a
Whiteley Meadows
Ridge Farm
Botley
FAREHAM, PO15 7FG</t>
  </si>
  <si>
    <t>Union Square</t>
  </si>
  <si>
    <t>SO-1509</t>
  </si>
  <si>
    <t>P27547S 
P27548S 
P27549S</t>
  </si>
  <si>
    <t>Brackets</t>
  </si>
  <si>
    <t>C/O Fleetwood Architectural Aluminium
Union Square
Stoddart Street
Shieldfield
NE2 1BS</t>
  </si>
  <si>
    <t>NE2 1BS</t>
  </si>
  <si>
    <t>St George Plc
Camden Goods Yard
Chalk Farm Road, Chalk Farm
Camden Town,London, NW1 8EH</t>
  </si>
  <si>
    <t>NW1 8EH</t>
  </si>
  <si>
    <t>Rusgold Manufacturing LTD
426 Long Drive
Greenford
London
UB6 8UH</t>
  </si>
  <si>
    <t>TN1 1PN</t>
  </si>
  <si>
    <t>McAleer &amp; Rushe Contracts UK Ltd 
(For FCS Facades)
 1 Church Road 
Tunbridge wells
 TN1 1PN</t>
  </si>
  <si>
    <t>Maiden Lane</t>
  </si>
  <si>
    <t>SSM013</t>
  </si>
  <si>
    <t>Cabinet</t>
  </si>
  <si>
    <t>WC2E 7LJ</t>
  </si>
  <si>
    <t>SO-1561</t>
  </si>
  <si>
    <t>EK Construction Limited
Sussex Mansions
36-39 Maiden Lane
Covent Garden
WC2E 7LJ</t>
  </si>
  <si>
    <t>Rochester College</t>
  </si>
  <si>
    <t>ME1 1HB</t>
  </si>
  <si>
    <t>Baxall Construction Limited Site Offices
213-217 High Street (ACCESS VIA BARDELL TERRACE / FURRELL'S ROAD
Rochester
Kent, ME1 1HB</t>
  </si>
  <si>
    <t>The Height</t>
  </si>
  <si>
    <t>Briggit Leeds</t>
  </si>
  <si>
    <t>LS1 6BR</t>
  </si>
  <si>
    <t>HG Construction Site
140 Briggate Street or Central Road
Leeds, LS1 6BR</t>
  </si>
  <si>
    <t>SE7 8JJ</t>
  </si>
  <si>
    <t>SD Plastering
The Heights
Charlton
SE7 8JJ</t>
  </si>
  <si>
    <t>Wembley NE01
 FAO: AJE Facades (Gate 1)
C/O McAleer &amp; Rushe
Fulton Road
 London, HA9 0GB</t>
  </si>
  <si>
    <t>Sarawak adn Dayak</t>
  </si>
  <si>
    <t>SO-1577</t>
  </si>
  <si>
    <t>1178-042 AR
1178-043 AR</t>
  </si>
  <si>
    <t>Sub-Frame and Panel</t>
  </si>
  <si>
    <t>SE15 3SS</t>
  </si>
  <si>
    <t>Craft Interior Ltd
C/O Equans
Dayak Court
71 Consort rd (access via Brayards rd)
London, SE15 3SS</t>
  </si>
  <si>
    <t xml:space="preserve"> Lyndhurst Road</t>
  </si>
  <si>
    <t>SO-1578</t>
  </si>
  <si>
    <t>PO00400</t>
  </si>
  <si>
    <t>Sub-Frame</t>
  </si>
  <si>
    <t>BN11 2DF</t>
  </si>
  <si>
    <t>Westbrooke Development Ltd (site)
Kladworx Ltd
Lindfield Place
22 Lyndhurst Road
Worthing, BN11 2DF</t>
  </si>
  <si>
    <t>Welded</t>
  </si>
  <si>
    <t>Yes</t>
  </si>
  <si>
    <t>N22 6TR</t>
  </si>
  <si>
    <t>AJE Facades
Clarendon Road Block E1 &amp; E3
C/O St William, Silsoe Road
Wood Green
N22 6TR</t>
  </si>
  <si>
    <t>Commercial Road</t>
  </si>
  <si>
    <t>E14 7NT</t>
  </si>
  <si>
    <t>605 Commercial Road
London
E14 7NT</t>
  </si>
  <si>
    <t>SO-1654</t>
  </si>
  <si>
    <t>PO0183916-1</t>
  </si>
  <si>
    <t>New College Swindon</t>
  </si>
  <si>
    <t>SN2 1DY</t>
  </si>
  <si>
    <t>Tetraclad Ltd
New Swindon College
North Star Avenue
Swindon, SN2 1DY</t>
  </si>
  <si>
    <t>C/O New Build Carpentry
Taylor Wimpey
Woodlands Chase Phase 3a
Phase 3a, Woodlands Chase
North Whiteley
SOUTHAMPTON, SO30 2YT
Kontakt: Matt +44 (f0)7470 111504</t>
  </si>
  <si>
    <t>C/O New Build Carpentry
Taylor Wimpey
Woodlands Chase Phase 3a
Phase 3a, Woodlands Chase
North Whiteley
SOUTHAMPTON, SO30 2YT</t>
  </si>
  <si>
    <t>Barrets Grove</t>
  </si>
  <si>
    <t>N16 8AP</t>
  </si>
  <si>
    <t>Tetraclad
 91 Barrets Grove
 Stoke Newington
 LONDON, N16 8AP</t>
  </si>
  <si>
    <t>SO30 2YT</t>
  </si>
  <si>
    <t>Brickdale House</t>
  </si>
  <si>
    <t>SG1 1AS</t>
  </si>
  <si>
    <t>Brickdale House 21
Danestreet,Stevenage
SG1 1AS</t>
  </si>
  <si>
    <t>Centrium CT2</t>
  </si>
  <si>
    <t>AL1 2RE</t>
  </si>
  <si>
    <t>Camden Good Yard</t>
  </si>
  <si>
    <t>Tunebridge Wells</t>
  </si>
  <si>
    <t>Drury Lane</t>
  </si>
  <si>
    <t>SO-1691</t>
  </si>
  <si>
    <t>Window Surrounds &amp; Flashings</t>
  </si>
  <si>
    <t>WC2B 5PN</t>
  </si>
  <si>
    <t>30/04/205</t>
  </si>
  <si>
    <t>Lockleaze</t>
  </si>
  <si>
    <t>SO-1695</t>
  </si>
  <si>
    <t>Mock-Up</t>
  </si>
  <si>
    <t>MPB Facades Ltd BoKlok 
Housing Site Office 
Herkomer Close 
Lockleaze 
Bristol BS7 9YG</t>
  </si>
  <si>
    <t>BS7 9YG</t>
  </si>
  <si>
    <t>T</t>
  </si>
  <si>
    <t xml:space="preserve">The Panoramic </t>
  </si>
  <si>
    <t>SO-1707</t>
  </si>
  <si>
    <t>PAN148</t>
  </si>
  <si>
    <t>Cassette Panels</t>
  </si>
  <si>
    <t>DA1 4QN</t>
  </si>
  <si>
    <t>FC Direct Ltd.
1 Kennet Road
Dartford
Kent, DA1 4QN</t>
  </si>
  <si>
    <t>Bromley</t>
  </si>
  <si>
    <t>SO-1716</t>
  </si>
  <si>
    <t>37-27JA</t>
  </si>
  <si>
    <t>BR2 9AP</t>
  </si>
  <si>
    <t>SW11 7DP</t>
  </si>
  <si>
    <t>A01 Marketing Suite
Embassy Gardens
29 Nie Elms Lane
London, SW11 7DP</t>
  </si>
  <si>
    <t>New Swindon College</t>
  </si>
  <si>
    <t>SO-1736</t>
  </si>
  <si>
    <t>PO0189522-1</t>
  </si>
  <si>
    <t>Fins &amp; Subframe Prod. 2</t>
  </si>
  <si>
    <t>SW1X 9HL</t>
  </si>
  <si>
    <t xml:space="preserve"> EK Construction Limited
 8-12 William Street
 London
 SW1X 9HL
Sebastian +44 (0) 7851 334 852</t>
  </si>
  <si>
    <t xml:space="preserve"> Roytec
 27 Passey Place
 London
 SE9 5DA
 Nick +44 (0) 7447 162 592
 Jurij +44 (0) 7888 504 050</t>
  </si>
  <si>
    <t>SE9 5DA</t>
  </si>
  <si>
    <t xml:space="preserve"> Kladworx Ltd
 40 Greenwich High Road
 London
 SE10 8LF
Alfie  +44 (0) 7908 701 565</t>
  </si>
  <si>
    <t>SE10 8LF</t>
  </si>
  <si>
    <t xml:space="preserve"> Roytec LTD c/o RED 
Construction
 134-146 Curtain Rd
 London
 EC2A 3AR
Nick +44 (0) 7447 162 592
Jurij +44 (0) 7888 504 050</t>
  </si>
  <si>
    <t>EC2A 3AR</t>
  </si>
  <si>
    <t>Project Reality 
C/O Bennett Construction Ltd 
Old Brewers Yard
 London 
WC2H 9FA
 Delivery gate on Shelton Street 
Cip +44 (0) 7738 899 112</t>
  </si>
  <si>
    <t>WC2H 9FA</t>
  </si>
  <si>
    <t>Plumstead West Thamesmead</t>
  </si>
  <si>
    <t>SO-1766</t>
  </si>
  <si>
    <t>Project Reality</t>
  </si>
  <si>
    <t>PO4503</t>
  </si>
  <si>
    <t>SE28 0FA</t>
  </si>
  <si>
    <t xml:space="preserve"> Berkeley Homes Building Site
 Gate 3
 Manor Ground
 Hadden Road
 Plumstead
 SE28 0FA
Contact: +44 (0) 7830 377 888</t>
  </si>
  <si>
    <t>McAleer &amp; Rushe Contracts UK Ltd 
(For FCS Facades)
161 Drury Lane
London, WC2B 5PN
Contact: Ruslan +44 (0) 7896 059 740</t>
  </si>
  <si>
    <t>Roytec Ltd c/o
RED Construction Group
5 Simpsons Road
St. Marks Square
BR2 9AP, London
Oleg +44 (0) 7453 009 655
Andriy +44 (0) 7380 330 922
Nick +44 (0) 7447 162 592</t>
  </si>
  <si>
    <t>Tetraclad Ltd
Wilshere Avenue
ST ALBANS, AL1 2RE
Ross Bridger
+44 (0) 7850985167</t>
  </si>
  <si>
    <t>Curved Flashings</t>
  </si>
  <si>
    <t>CGY</t>
  </si>
  <si>
    <t>Drummond Street</t>
  </si>
  <si>
    <t>SO-1816</t>
  </si>
  <si>
    <t>PO02502</t>
  </si>
  <si>
    <t xml:space="preserve"> 155 Drummond Street
 London
 Camden
 NW12PB
 Pawel +44 (0) 7590 056 393</t>
  </si>
  <si>
    <t xml:space="preserve"> NW12PB</t>
  </si>
  <si>
    <t>Additional Panels</t>
  </si>
  <si>
    <t>Cherry Orchard</t>
  </si>
  <si>
    <t xml:space="preserve"> Formation Design &amp; Build Ltd
 Stafford Road
 CROYDON, CR0 4BG
 United Kingdom
Daniel +44 (0) 7369 217 437</t>
  </si>
  <si>
    <t>CR0 4BG</t>
  </si>
  <si>
    <t>Ebbsfleet</t>
  </si>
  <si>
    <t xml:space="preserve"> Tetraclad Ltd,
 EBBSFLEET GREEN,
 Site A - Ackers Drive,
 Ebbsfleet Valley,
 Kent, DA10 0BE,
Contact: +44 (0) 7850 985 167</t>
  </si>
  <si>
    <t>DA10 0BE</t>
  </si>
  <si>
    <t>Panoramic</t>
  </si>
  <si>
    <t>SO-1850</t>
  </si>
  <si>
    <t>PAN216</t>
  </si>
  <si>
    <t>NW3 2QX</t>
  </si>
  <si>
    <t>Briggate Leeds</t>
  </si>
  <si>
    <t>SO-1853</t>
  </si>
  <si>
    <t>P6241090</t>
  </si>
  <si>
    <t xml:space="preserve"> HG Construction Limited
 Store House Briggate
 140-142 Briggate Lane
 Rear of House of Fraser, Access via Central Road
 (Opposite Little Tokyo Restaurant)
 Leeds, LS1 6DE
 Ion +44 (0) 7843 117 869</t>
  </si>
  <si>
    <t>LS1 6DE</t>
  </si>
  <si>
    <t>Kings Road Park E2</t>
  </si>
  <si>
    <t>William Street</t>
  </si>
  <si>
    <t>SO-1863</t>
  </si>
  <si>
    <t>SO-1869</t>
  </si>
  <si>
    <t>SO-1870</t>
  </si>
  <si>
    <t>SO-1875</t>
  </si>
  <si>
    <t>WLMS035</t>
  </si>
  <si>
    <t>EBS001</t>
  </si>
  <si>
    <t>Replacment Panels &amp; Pressings</t>
  </si>
  <si>
    <t>Cabinet Prod.2</t>
  </si>
  <si>
    <t>Block B Remaining Cills</t>
  </si>
  <si>
    <t>St George Plc
Camden Goods Yard
Chalk Farm Road, Chalk Farm
Camden Town,London, NW1 8EH
Kontakt: Arek +44 (0) 7534 515 939</t>
  </si>
  <si>
    <t xml:space="preserve"> NW1 8EH</t>
  </si>
  <si>
    <t xml:space="preserve"> Powdertech (Corby) Ltd
 5 Cockerell Rd
 Corby
 NN17 5DU
Contact: Richard +44 (0) 7977 260 382</t>
  </si>
  <si>
    <t>SO-1876</t>
  </si>
  <si>
    <t>SO-1877</t>
  </si>
  <si>
    <t>SO-1879</t>
  </si>
  <si>
    <t>Perforated Balustrades</t>
  </si>
  <si>
    <t>Rooflight Pressings</t>
  </si>
  <si>
    <t>PO13424-439-JB-KRP</t>
  </si>
  <si>
    <t xml:space="preserve">A-Lakiernia Sp. z o.o.
ul. Krzywoustego 1, 84 – 300 Lębork </t>
  </si>
  <si>
    <t>84 – 300</t>
  </si>
  <si>
    <t>Critical Information</t>
  </si>
  <si>
    <t>CW Brackets</t>
  </si>
  <si>
    <t>CW Reinforcments</t>
  </si>
  <si>
    <t>FC Direct Ltd,
CO GPF Lewis, 
152 Fleet Road, 
London, NW3 2QX
Luis Valle +44 (0) 7765 777 672, 
Shaun Holland +44 (0) 7846 211 254,  Aaran Barratt +44 (0) 7464 485 453</t>
  </si>
  <si>
    <t>FCS Facades, 
McAleer &amp; Rushe Contracts UK, 
10 Fulton Road, Wembley, 
London, HA9 0GB</t>
  </si>
  <si>
    <t>King Street</t>
  </si>
  <si>
    <t>SO-1880</t>
  </si>
  <si>
    <t>M-CC1084/00071</t>
  </si>
  <si>
    <t>WC2E 8HN</t>
  </si>
  <si>
    <t>26 King Street, London, WC2E 8HN
Contact: +44 (0) 7540 994 243</t>
  </si>
  <si>
    <t>Vidok Sp. Z.o.o.
36-054 Mrowla
Rudna Mala 75</t>
  </si>
  <si>
    <t>Riggid Lorry + Trailer
Heavy Load</t>
  </si>
  <si>
    <t>Firestone</t>
  </si>
  <si>
    <t>SO-1881</t>
  </si>
  <si>
    <t>M-CC1093/00087</t>
  </si>
  <si>
    <t>Panels</t>
  </si>
  <si>
    <t>TW8 9EP</t>
  </si>
  <si>
    <t xml:space="preserve"> West Cross Industrial Park, Brendford, TW8 9EP
Contact:  Paul Yates - +44 (0) 7879 882133</t>
  </si>
  <si>
    <t>Kings Road Park E2 (Stavley Road)</t>
  </si>
  <si>
    <t>SO-1882</t>
  </si>
  <si>
    <t>PO30625-458-SRP</t>
  </si>
  <si>
    <t xml:space="preserve"> 76 Stavley Road, W4 3HU London</t>
  </si>
  <si>
    <t>W4 3HU</t>
  </si>
  <si>
    <t>SO-1883</t>
  </si>
  <si>
    <t>37-61JA</t>
  </si>
  <si>
    <t>L-Profiles</t>
  </si>
  <si>
    <t>Roytec Ltd c/o RED 
,Construction Group
, 5 Simpsons Road, St Marks 
Square,
 London
 Bromley
 BR2 9AP
Contact: Oleg +447453009655
, Andriy +447380330922
. Nick +07447162592</t>
  </si>
  <si>
    <t>SO-1884</t>
  </si>
  <si>
    <t>Pang - 9765</t>
  </si>
  <si>
    <t>Helena Pang Door Skins</t>
  </si>
  <si>
    <t xml:space="preserve"> EK Construction Limited
143 Ebury Street
 London SW1W 9QN</t>
  </si>
  <si>
    <t>Broadway Central 2</t>
  </si>
  <si>
    <t>SO-1885</t>
  </si>
  <si>
    <t>Panel Hooking System</t>
  </si>
  <si>
    <t>McAleer &amp; Rushe Contracts UK Ltd
 (For FCS Facades)
 ,Broadway Central PBSA,
 Renfield Street
 Glasgow, G2 3BW
Contact: Piotr +44 (0) 7471 273 458</t>
  </si>
  <si>
    <t>G2 3BW</t>
  </si>
  <si>
    <t>Slough CDC</t>
  </si>
  <si>
    <t>SO-1886</t>
  </si>
  <si>
    <t>PO00443</t>
  </si>
  <si>
    <t>SL1 2BJ</t>
  </si>
  <si>
    <t>Upton Hospital (CDC)
, Church Street,
 SLough,
 SL1 2BJ
Alfie Kelmendi +44 (0) 7908 701565</t>
  </si>
  <si>
    <t>SO-1887</t>
  </si>
  <si>
    <t>Spandrel, Arched &amp; Urban Entrance Panels</t>
  </si>
  <si>
    <t>order_id</t>
  </si>
  <si>
    <t>status</t>
  </si>
  <si>
    <t>timestamp</t>
  </si>
  <si>
    <t>30/01/2026
09:55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</si>
</sst>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37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3" fillId="2" borderId="0" xfId="0" applyNumberFormat="1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9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6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9" fontId="6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7" fillId="4" borderId="0" xfId="1" applyAlignment="1">
      <alignment horizontal="center" vertical="center"/>
    </xf>
    <xf numFmtId="0" fontId="7" fillId="4" borderId="0" xfId="1" applyAlignment="1">
      <alignment horizontal="left" vertical="center" wrapText="1"/>
    </xf>
    <xf numFmtId="9" fontId="6" fillId="0" borderId="0" xfId="0" applyNumberFormat="1" applyFont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8CE20-76DC-4853-9E42-BB88690E3CED}" name="Table1" displayName="Table1" ref="A1:Q20" totalsRowShown="0" headerRowDxfId="18" dataDxfId="17">
  <autoFilter ref="A1:Q20" xr:uid="{D238CE20-76DC-4853-9E42-BB88690E3CED}"/>
  <tableColumns count="17">
    <tableColumn id="1" xr3:uid="{867090DC-1FE0-4EF0-A0C0-448920317853}" name="Project" dataDxfId="16"/>
    <tableColumn id="2" xr3:uid="{ED71812C-E204-4FE0-ADEA-0CD9B3ADA2A3}" name="Project SO" dataDxfId="15"/>
    <tableColumn id="3" xr3:uid="{32502B80-458D-4EF6-9ABC-03678A6F8302}" name="order_id" dataDxfId="14"/>
    <tableColumn id="4" xr3:uid="{111DD528-EE5F-4D8B-B63F-9A842570498D}" name="Materials" dataDxfId="13"/>
    <tableColumn id="5" xr3:uid="{F88C7351-33D9-47AC-88E6-09F8FC43FCF9}" name="status" dataDxfId="12"/>
    <tableColumn id="6" xr3:uid="{AF541036-9D61-4BFA-9B88-B69C899AAAFF}" name="Phase" dataDxfId="11"/>
    <tableColumn id="7" xr3:uid="{3C9800BD-A315-48D1-9DB1-AF15B6CE2464}" name="Post Code" dataDxfId="10"/>
    <tableColumn id="8" xr3:uid="{35381005-95B2-4E9D-9D09-3585A5DE3E35}" name="Delivery Adress" dataDxfId="9"/>
    <tableColumn id="9" xr3:uid="{21A0DBD3-20BC-48FA-8FF6-DB3AFE9382A5}" name="PO Date" dataDxfId="8"/>
    <tableColumn id="10" xr3:uid="{3F0B7287-A10E-4CE5-9A48-B72BC577D0D0}" name="Estimated Delivery Date" dataDxfId="7"/>
    <tableColumn id="11" xr3:uid="{D53CD43D-3F51-4446-BA3F-C95DF42223C1}" name="Current Update" dataDxfId="6">
      <calculatedColumnFormula>AVERAGE(L2:N2)</calculatedColumnFormula>
    </tableColumn>
    <tableColumn id="12" xr3:uid="{6527AB69-9477-41B6-8941-2FE273E12275}" name="Production" dataDxfId="5"/>
    <tableColumn id="13" xr3:uid="{6436B5E8-E98E-47E2-B70D-DD9AA467C3A5}" name="PPC" dataDxfId="4"/>
    <tableColumn id="14" xr3:uid="{D893399C-2909-4B8A-9538-32D22CFA1B25}" name="Dispatch" dataDxfId="3"/>
    <tableColumn id="15" xr3:uid="{F6302424-51FB-45BD-9F34-61C700C8D161}" name="Welded" dataDxfId="2"/>
    <tableColumn id="16" xr3:uid="{9BE99484-0D9D-4749-B30B-7C533699CF52}" name="Critical Information" dataDxfId="1"/>
    <tableColumn id="17" xr3:uid="{4C03519C-AB36-480D-97B3-F56FDE4D4B1D}" name="timesta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..\..\..\ACL%20Fabrication\PR2337%20CGY%20(FCS)\72.%20SO1870%20Block%20B%20Remainging%20Cills\PR2337%20(SO1870)%20CGY%20Cill%20Take%20Off%202025.08.21%20K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CC83-B096-4DFD-B12D-931D553CFFB4}">
  <sheetPr codeName="Sheet1">
    <tabColor theme="5" tint="0.79998168889431442"/>
  </sheetPr>
  <dimension ref="A1:Q20"/>
  <sheetViews>
    <sheetView tabSelected="1" zoomScale="85" zoomScaleNormal="85" workbookViewId="0">
      <pane ySplit="1" topLeftCell="A2" activePane="bottomLeft" state="frozen"/>
      <selection pane="bottomLeft" activeCell="Q8" sqref="Q8"/>
    </sheetView>
  </sheetViews>
  <sheetFormatPr defaultRowHeight="15" x14ac:dyDescent="0.25"/>
  <cols>
    <col min="1" max="1" width="19.28515625" bestFit="1" customWidth="1"/>
    <col min="2" max="2" width="11.7109375" customWidth="1"/>
    <col min="3" max="3" width="20.5703125" bestFit="1" customWidth="1"/>
    <col min="4" max="4" width="44.7109375" bestFit="1" customWidth="1"/>
    <col min="5" max="5" width="18.5703125" bestFit="1" customWidth="1"/>
    <col min="6" max="6" width="11.42578125" bestFit="1" customWidth="1"/>
    <col min="7" max="7" width="14.5703125" bestFit="1" customWidth="1"/>
    <col min="8" max="8" width="36.5703125" style="9" bestFit="1" customWidth="1"/>
    <col min="9" max="9" width="13.42578125" style="3" bestFit="1" customWidth="1"/>
    <col min="10" max="10" width="27.5703125" style="3" bestFit="1" customWidth="1"/>
    <col min="11" max="11" width="19.42578125" bestFit="1" customWidth="1"/>
    <col min="12" max="12" width="12" customWidth="1"/>
    <col min="13" max="13" width="9.5703125" bestFit="1" customWidth="1"/>
    <col min="14" max="14" width="13.7109375" bestFit="1" customWidth="1"/>
    <col min="15" max="15" width="12.85546875" style="12" bestFit="1" customWidth="1"/>
    <col min="16" max="16" width="23" bestFit="1" customWidth="1"/>
    <col min="17" max="17" width="15.5703125" bestFit="1" customWidth="1"/>
  </cols>
  <sheetData>
    <row r="1" spans="1:17" s="12" customFormat="1" x14ac:dyDescent="0.25">
      <c r="A1" s="12" t="s">
        <v>36</v>
      </c>
      <c r="B1" s="12" t="s">
        <v>35</v>
      </c>
      <c r="C1" s="12" t="s">
        <v>346</v>
      </c>
      <c r="D1" s="12" t="s">
        <v>33</v>
      </c>
      <c r="E1" s="12" t="s">
        <v>347</v>
      </c>
      <c r="F1" s="13" t="s">
        <v>31</v>
      </c>
      <c r="G1" s="12" t="s">
        <v>30</v>
      </c>
      <c r="H1" s="12" t="s">
        <v>29</v>
      </c>
      <c r="I1" s="14" t="s">
        <v>28</v>
      </c>
      <c r="J1" s="14" t="s">
        <v>27</v>
      </c>
      <c r="K1" s="12" t="s">
        <v>26</v>
      </c>
      <c r="L1" s="12" t="s">
        <v>25</v>
      </c>
      <c r="M1" s="12" t="s">
        <v>24</v>
      </c>
      <c r="N1" s="12" t="s">
        <v>23</v>
      </c>
      <c r="O1" s="12" t="s">
        <v>187</v>
      </c>
      <c r="P1" s="12" t="s">
        <v>303</v>
      </c>
      <c r="Q1" s="12" t="s">
        <v>348</v>
      </c>
    </row>
    <row r="2" spans="1:17" ht="60" x14ac:dyDescent="0.25">
      <c r="A2" s="12" t="s">
        <v>235</v>
      </c>
      <c r="B2" s="12" t="s">
        <v>236</v>
      </c>
      <c r="C2" s="15" t="s">
        <v>237</v>
      </c>
      <c r="D2" s="12" t="s">
        <v>238</v>
      </c>
      <c r="E2" s="22" t="s">
        <v>3</v>
      </c>
      <c r="F2" s="12"/>
      <c r="G2" t="s">
        <v>197</v>
      </c>
      <c r="H2" s="2" t="s">
        <v>198</v>
      </c>
      <c r="I2" s="3">
        <v>45811</v>
      </c>
      <c r="J2" s="14">
        <v>45916</v>
      </c>
      <c r="K2" s="23">
        <f t="shared" ref="K2" si="0">AVERAGE(L2:N2)</f>
        <v>3.3333333333333335E-3</v>
      </c>
      <c r="L2" s="23">
        <v>0.01</v>
      </c>
      <c r="M2" s="23">
        <v>0</v>
      </c>
      <c r="N2" s="23">
        <v>0</v>
      </c>
      <c r="O2" s="12" t="s">
        <v>188</v>
      </c>
      <c r="P2" s="36" t="s">
        <v>314</v>
      </c>
      <c r="Q2" s="16"/>
    </row>
    <row r="3" spans="1:17" ht="105" x14ac:dyDescent="0.25">
      <c r="A3" s="12" t="s">
        <v>272</v>
      </c>
      <c r="B3" s="12" t="s">
        <v>273</v>
      </c>
      <c r="C3" s="15" t="s">
        <v>274</v>
      </c>
      <c r="D3" s="12" t="s">
        <v>265</v>
      </c>
      <c r="E3" s="22" t="s">
        <v>119</v>
      </c>
      <c r="F3" s="12"/>
      <c r="G3" s="12" t="s">
        <v>275</v>
      </c>
      <c r="H3" s="24" t="s">
        <v>306</v>
      </c>
      <c r="I3" s="14">
        <v>45875</v>
      </c>
      <c r="J3" s="14"/>
      <c r="K3" s="23">
        <f t="shared" ref="K3" si="1">AVERAGE(L3:N3)</f>
        <v>0.83333333333333337</v>
      </c>
      <c r="L3" s="23">
        <v>1</v>
      </c>
      <c r="M3" s="23">
        <v>1</v>
      </c>
      <c r="N3" s="23">
        <v>0.5</v>
      </c>
      <c r="P3" s="16"/>
      <c r="Q3" s="16"/>
    </row>
    <row r="4" spans="1:17" ht="120" x14ac:dyDescent="0.25">
      <c r="A4" s="12" t="s">
        <v>276</v>
      </c>
      <c r="B4" s="12" t="s">
        <v>277</v>
      </c>
      <c r="C4" s="15" t="s">
        <v>278</v>
      </c>
      <c r="D4" s="12" t="s">
        <v>143</v>
      </c>
      <c r="E4" s="12" t="s">
        <v>3</v>
      </c>
      <c r="F4" s="12"/>
      <c r="G4" s="12" t="s">
        <v>280</v>
      </c>
      <c r="H4" s="24" t="s">
        <v>279</v>
      </c>
      <c r="I4" s="14">
        <v>45877</v>
      </c>
      <c r="J4" s="14"/>
      <c r="K4" s="23">
        <f t="shared" ref="K4" si="2">AVERAGE(L4:N4)</f>
        <v>3.3333333333333335E-3</v>
      </c>
      <c r="L4" s="23">
        <v>0.01</v>
      </c>
      <c r="M4" s="23">
        <v>0</v>
      </c>
      <c r="N4" s="23">
        <v>0</v>
      </c>
      <c r="P4" s="16"/>
      <c r="Q4" s="16"/>
    </row>
    <row r="5" spans="1:17" ht="75" x14ac:dyDescent="0.25">
      <c r="A5" s="12" t="s">
        <v>282</v>
      </c>
      <c r="B5" s="12" t="s">
        <v>283</v>
      </c>
      <c r="C5" s="15" t="s">
        <v>287</v>
      </c>
      <c r="D5" s="12" t="s">
        <v>289</v>
      </c>
      <c r="E5" s="12" t="s">
        <v>3</v>
      </c>
      <c r="F5" s="12"/>
      <c r="G5" s="12"/>
      <c r="H5" s="24" t="s">
        <v>294</v>
      </c>
      <c r="I5" s="14">
        <v>45888</v>
      </c>
      <c r="J5" s="14"/>
      <c r="K5" s="23">
        <f t="shared" ref="K5:K7" si="3">AVERAGE(L5:N5)</f>
        <v>3.3333333333333335E-3</v>
      </c>
      <c r="L5" s="23">
        <v>0.01</v>
      </c>
      <c r="M5" s="23">
        <v>0</v>
      </c>
      <c r="N5" s="23">
        <v>0</v>
      </c>
      <c r="P5" s="16"/>
      <c r="Q5" s="16"/>
    </row>
    <row r="6" spans="1:17" ht="45" x14ac:dyDescent="0.25">
      <c r="A6" s="12" t="s">
        <v>159</v>
      </c>
      <c r="B6" s="12" t="s">
        <v>284</v>
      </c>
      <c r="C6" s="15" t="s">
        <v>288</v>
      </c>
      <c r="D6" s="12" t="s">
        <v>290</v>
      </c>
      <c r="E6" s="12" t="s">
        <v>3</v>
      </c>
      <c r="F6" s="12"/>
      <c r="G6" s="12"/>
      <c r="H6" s="24" t="s">
        <v>333</v>
      </c>
      <c r="I6" s="14">
        <v>45890</v>
      </c>
      <c r="J6" s="14"/>
      <c r="K6" s="23">
        <f t="shared" si="3"/>
        <v>3.3333333333333335E-3</v>
      </c>
      <c r="L6" s="23">
        <v>0.01</v>
      </c>
      <c r="M6" s="23">
        <v>0</v>
      </c>
      <c r="N6" s="23">
        <v>0</v>
      </c>
      <c r="O6" s="12" t="s">
        <v>188</v>
      </c>
      <c r="P6" s="16"/>
      <c r="Q6" s="16"/>
    </row>
    <row r="7" spans="1:17" ht="75" x14ac:dyDescent="0.25">
      <c r="A7" s="12" t="s">
        <v>259</v>
      </c>
      <c r="B7" s="12" t="s">
        <v>285</v>
      </c>
      <c r="C7" s="15">
        <v>2126</v>
      </c>
      <c r="D7" s="12" t="s">
        <v>291</v>
      </c>
      <c r="E7" s="12" t="s">
        <v>3</v>
      </c>
      <c r="F7" s="12"/>
      <c r="G7" s="12" t="s">
        <v>293</v>
      </c>
      <c r="H7" s="24" t="s">
        <v>292</v>
      </c>
      <c r="I7" s="14">
        <v>45891</v>
      </c>
      <c r="J7" s="14">
        <v>45916</v>
      </c>
      <c r="K7" s="23">
        <f t="shared" si="3"/>
        <v>0.18666666666666668</v>
      </c>
      <c r="L7" s="23">
        <v>0.56000000000000005</v>
      </c>
      <c r="M7" s="23">
        <v>0</v>
      </c>
      <c r="N7" s="23">
        <v>0</v>
      </c>
      <c r="O7" s="12" t="s">
        <v>188</v>
      </c>
      <c r="P7" s="36" t="s">
        <v>314</v>
      </c>
      <c r="Q7" s="36" t="s">
        <v>349</v>
      </c>
    </row>
    <row r="8" spans="1:17" ht="75" x14ac:dyDescent="0.25">
      <c r="A8" s="12" t="s">
        <v>259</v>
      </c>
      <c r="B8" s="12" t="s">
        <v>286</v>
      </c>
      <c r="C8" s="15">
        <v>2136</v>
      </c>
      <c r="D8" s="12" t="s">
        <v>304</v>
      </c>
      <c r="E8" s="12" t="s">
        <v>3</v>
      </c>
      <c r="F8" s="12"/>
      <c r="G8" s="12" t="s">
        <v>293</v>
      </c>
      <c r="H8" s="24" t="s">
        <v>292</v>
      </c>
      <c r="I8" s="14">
        <v>45896</v>
      </c>
      <c r="J8" s="14">
        <v>45916</v>
      </c>
      <c r="K8" s="23">
        <f>AVERAGE(L8:N8)</f>
        <v>0.14666666666666667</v>
      </c>
      <c r="L8" s="23">
        <v>0.44</v>
      </c>
      <c r="M8" s="23">
        <v>0</v>
      </c>
      <c r="N8" s="23">
        <v>0</v>
      </c>
      <c r="O8" s="12" t="s">
        <v>188</v>
      </c>
      <c r="P8" s="36" t="s">
        <v>314</v>
      </c>
      <c r="Q8" s="16"/>
    </row>
    <row r="9" spans="1:17" ht="45" x14ac:dyDescent="0.25">
      <c r="A9" s="12" t="s">
        <v>259</v>
      </c>
      <c r="B9" s="12" t="s">
        <v>286</v>
      </c>
      <c r="C9" s="15">
        <v>2137</v>
      </c>
      <c r="D9" s="12" t="s">
        <v>305</v>
      </c>
      <c r="E9" s="12" t="s">
        <v>3</v>
      </c>
      <c r="F9" s="12"/>
      <c r="G9" s="12" t="s">
        <v>293</v>
      </c>
      <c r="H9" s="35" t="s">
        <v>313</v>
      </c>
      <c r="I9" s="14">
        <v>45896</v>
      </c>
      <c r="J9" s="14"/>
      <c r="K9" s="23">
        <f>AVERAGE(L9:N9)</f>
        <v>3.3333333333333335E-3</v>
      </c>
      <c r="L9" s="23">
        <v>0.01</v>
      </c>
      <c r="M9" s="23">
        <v>0</v>
      </c>
      <c r="N9" s="23">
        <v>0</v>
      </c>
      <c r="O9" s="12" t="s">
        <v>188</v>
      </c>
      <c r="P9" s="16"/>
      <c r="Q9" s="16"/>
    </row>
    <row r="10" spans="1:17" ht="60" x14ac:dyDescent="0.25">
      <c r="A10" s="12" t="s">
        <v>74</v>
      </c>
      <c r="B10" s="12" t="s">
        <v>295</v>
      </c>
      <c r="C10" s="15">
        <v>2147</v>
      </c>
      <c r="D10" s="12" t="s">
        <v>143</v>
      </c>
      <c r="E10" s="12" t="s">
        <v>3</v>
      </c>
      <c r="F10" s="12"/>
      <c r="G10" t="s">
        <v>83</v>
      </c>
      <c r="H10" s="2" t="s">
        <v>307</v>
      </c>
      <c r="I10" s="14">
        <v>45902</v>
      </c>
      <c r="J10" s="14"/>
      <c r="K10" s="23">
        <f t="shared" ref="K10:K12" si="4">AVERAGE(L10:N10)</f>
        <v>3.3333333333333335E-3</v>
      </c>
      <c r="L10" s="23">
        <v>0.01</v>
      </c>
      <c r="M10" s="23">
        <v>0</v>
      </c>
      <c r="N10" s="23">
        <v>0</v>
      </c>
      <c r="P10" s="16"/>
      <c r="Q10" s="16"/>
    </row>
    <row r="11" spans="1:17" ht="30" x14ac:dyDescent="0.25">
      <c r="A11" s="12" t="s">
        <v>281</v>
      </c>
      <c r="B11" s="12" t="s">
        <v>296</v>
      </c>
      <c r="C11" s="15" t="s">
        <v>300</v>
      </c>
      <c r="D11" s="12" t="s">
        <v>298</v>
      </c>
      <c r="E11" s="12" t="s">
        <v>3</v>
      </c>
      <c r="F11" s="12"/>
      <c r="G11" s="34" t="s">
        <v>302</v>
      </c>
      <c r="H11" s="35" t="s">
        <v>301</v>
      </c>
      <c r="I11" s="14">
        <v>45902</v>
      </c>
      <c r="J11" s="14"/>
      <c r="K11" s="23">
        <f t="shared" si="4"/>
        <v>3.3333333333333335E-3</v>
      </c>
      <c r="L11" s="23">
        <v>0.01</v>
      </c>
      <c r="M11" s="23">
        <v>0</v>
      </c>
      <c r="N11" s="23">
        <v>0</v>
      </c>
      <c r="O11" s="12" t="s">
        <v>188</v>
      </c>
      <c r="P11" s="16"/>
      <c r="Q11" s="16"/>
    </row>
    <row r="12" spans="1:17" ht="75" x14ac:dyDescent="0.25">
      <c r="A12" s="12" t="s">
        <v>212</v>
      </c>
      <c r="B12" s="12" t="s">
        <v>297</v>
      </c>
      <c r="C12" s="15">
        <v>2151</v>
      </c>
      <c r="D12" s="12" t="s">
        <v>299</v>
      </c>
      <c r="E12" s="12" t="s">
        <v>3</v>
      </c>
      <c r="F12" s="12"/>
      <c r="G12" s="27" t="s">
        <v>215</v>
      </c>
      <c r="H12" s="28" t="s">
        <v>255</v>
      </c>
      <c r="I12" s="14">
        <v>45902</v>
      </c>
      <c r="J12" s="14"/>
      <c r="K12" s="23">
        <f t="shared" si="4"/>
        <v>3.3333333333333335E-3</v>
      </c>
      <c r="L12" s="23">
        <v>0.01</v>
      </c>
      <c r="M12" s="23">
        <v>0</v>
      </c>
      <c r="N12" s="23">
        <v>0</v>
      </c>
      <c r="P12" s="16"/>
      <c r="Q12" s="16"/>
    </row>
    <row r="13" spans="1:17" ht="30" x14ac:dyDescent="0.25">
      <c r="A13" s="12" t="s">
        <v>308</v>
      </c>
      <c r="B13" s="12" t="s">
        <v>309</v>
      </c>
      <c r="C13" s="15" t="s">
        <v>310</v>
      </c>
      <c r="D13" s="12" t="s">
        <v>143</v>
      </c>
      <c r="E13" s="12" t="s">
        <v>3</v>
      </c>
      <c r="F13" s="12"/>
      <c r="G13" s="12" t="s">
        <v>311</v>
      </c>
      <c r="H13" s="24" t="s">
        <v>312</v>
      </c>
      <c r="I13" s="14">
        <v>45905</v>
      </c>
      <c r="J13" s="14"/>
      <c r="K13" s="23">
        <f t="shared" ref="K13" si="5">AVERAGE(L13:N13)</f>
        <v>3.3333333333333335E-3</v>
      </c>
      <c r="L13" s="23">
        <v>0.01</v>
      </c>
      <c r="M13" s="23">
        <v>0</v>
      </c>
      <c r="N13" s="23">
        <v>0</v>
      </c>
      <c r="O13" s="12" t="s">
        <v>188</v>
      </c>
      <c r="P13" s="16"/>
      <c r="Q13" s="16"/>
    </row>
    <row r="14" spans="1:17" ht="60" x14ac:dyDescent="0.25">
      <c r="A14" s="12" t="s">
        <v>315</v>
      </c>
      <c r="B14" s="12" t="s">
        <v>316</v>
      </c>
      <c r="C14" s="15" t="s">
        <v>317</v>
      </c>
      <c r="D14" s="12" t="s">
        <v>318</v>
      </c>
      <c r="E14" s="12" t="s">
        <v>3</v>
      </c>
      <c r="F14" s="12"/>
      <c r="G14" s="12" t="s">
        <v>319</v>
      </c>
      <c r="H14" s="24" t="s">
        <v>320</v>
      </c>
      <c r="I14" s="14">
        <v>45905</v>
      </c>
      <c r="J14" s="14"/>
      <c r="K14" s="23">
        <f t="shared" ref="K14" si="6">AVERAGE(L14:N14)</f>
        <v>3.3333333333333335E-3</v>
      </c>
      <c r="L14" s="23">
        <v>0.01</v>
      </c>
      <c r="M14" s="23">
        <v>0</v>
      </c>
      <c r="N14" s="23">
        <v>0</v>
      </c>
      <c r="O14" s="12" t="s">
        <v>188</v>
      </c>
      <c r="P14" s="16"/>
      <c r="Q14" s="16"/>
    </row>
    <row r="15" spans="1:17" x14ac:dyDescent="0.25">
      <c r="A15" s="12" t="s">
        <v>321</v>
      </c>
      <c r="B15" s="12" t="s">
        <v>322</v>
      </c>
      <c r="C15" s="15" t="s">
        <v>323</v>
      </c>
      <c r="D15" s="12" t="s">
        <v>143</v>
      </c>
      <c r="E15" s="12" t="s">
        <v>3</v>
      </c>
      <c r="F15" s="12"/>
      <c r="G15" s="12" t="s">
        <v>325</v>
      </c>
      <c r="H15" s="24" t="s">
        <v>324</v>
      </c>
      <c r="I15" s="14">
        <v>45905</v>
      </c>
      <c r="J15" s="14"/>
      <c r="K15" s="23">
        <f t="shared" ref="K15" si="7">AVERAGE(L15:N15)</f>
        <v>3.3333333333333335E-3</v>
      </c>
      <c r="L15" s="23">
        <v>0.01</v>
      </c>
      <c r="M15" s="23">
        <v>0</v>
      </c>
      <c r="N15" s="23">
        <v>0</v>
      </c>
      <c r="O15" s="12" t="s">
        <v>188</v>
      </c>
      <c r="P15" s="16"/>
      <c r="Q15" s="16"/>
    </row>
    <row r="16" spans="1:17" ht="150" x14ac:dyDescent="0.25">
      <c r="A16" s="12" t="s">
        <v>229</v>
      </c>
      <c r="B16" s="12" t="s">
        <v>326</v>
      </c>
      <c r="C16" s="15" t="s">
        <v>327</v>
      </c>
      <c r="D16" s="12" t="s">
        <v>328</v>
      </c>
      <c r="E16" s="12" t="s">
        <v>3</v>
      </c>
      <c r="F16" s="12"/>
      <c r="G16" s="12" t="s">
        <v>232</v>
      </c>
      <c r="H16" s="24" t="s">
        <v>329</v>
      </c>
      <c r="I16" s="14">
        <v>45908</v>
      </c>
      <c r="J16" s="14"/>
      <c r="K16" s="23">
        <f t="shared" ref="K16" si="8">AVERAGE(L16:N16)</f>
        <v>3.3333333333333335E-3</v>
      </c>
      <c r="L16" s="23">
        <v>0.01</v>
      </c>
      <c r="M16" s="23">
        <v>0</v>
      </c>
      <c r="N16" s="23">
        <v>0</v>
      </c>
      <c r="P16" s="16"/>
      <c r="Q16" s="16"/>
    </row>
    <row r="17" spans="1:17" ht="60" x14ac:dyDescent="0.25">
      <c r="A17" s="12" t="s">
        <v>97</v>
      </c>
      <c r="B17" s="12" t="s">
        <v>330</v>
      </c>
      <c r="C17" s="15" t="s">
        <v>331</v>
      </c>
      <c r="D17" s="12" t="s">
        <v>332</v>
      </c>
      <c r="E17" s="12" t="s">
        <v>3</v>
      </c>
      <c r="F17" s="12"/>
      <c r="G17" t="s">
        <v>98</v>
      </c>
      <c r="H17" s="2" t="s">
        <v>99</v>
      </c>
      <c r="I17" s="14">
        <v>45908</v>
      </c>
      <c r="J17" s="14"/>
      <c r="K17" s="23">
        <f t="shared" ref="K17" si="9">AVERAGE(L17:N17)</f>
        <v>3.3333333333333335E-3</v>
      </c>
      <c r="L17" s="23">
        <v>0.01</v>
      </c>
      <c r="M17" s="23">
        <v>0</v>
      </c>
      <c r="N17" s="23">
        <v>0</v>
      </c>
      <c r="O17" s="12" t="s">
        <v>188</v>
      </c>
      <c r="P17" s="16"/>
      <c r="Q17" s="16"/>
    </row>
    <row r="18" spans="1:17" ht="90" x14ac:dyDescent="0.25">
      <c r="A18" s="12" t="s">
        <v>334</v>
      </c>
      <c r="B18" s="12" t="s">
        <v>335</v>
      </c>
      <c r="C18" s="15">
        <v>2183</v>
      </c>
      <c r="D18" s="12" t="s">
        <v>336</v>
      </c>
      <c r="E18" s="12" t="s">
        <v>3</v>
      </c>
      <c r="F18" s="12"/>
      <c r="G18" s="12" t="s">
        <v>338</v>
      </c>
      <c r="H18" s="24" t="s">
        <v>337</v>
      </c>
      <c r="I18" s="14">
        <v>45909</v>
      </c>
      <c r="J18" s="14"/>
      <c r="K18" s="23">
        <f t="shared" ref="K18:K19" si="10">AVERAGE(L18:N18)</f>
        <v>3.3333333333333335E-3</v>
      </c>
      <c r="L18" s="23">
        <v>0.01</v>
      </c>
      <c r="M18" s="23">
        <v>0</v>
      </c>
      <c r="N18" s="23">
        <v>0</v>
      </c>
      <c r="P18" s="16"/>
      <c r="Q18" s="16"/>
    </row>
    <row r="19" spans="1:17" ht="75" x14ac:dyDescent="0.25">
      <c r="A19" s="12" t="s">
        <v>339</v>
      </c>
      <c r="B19" s="12" t="s">
        <v>340</v>
      </c>
      <c r="C19" s="15" t="s">
        <v>341</v>
      </c>
      <c r="D19" s="12" t="s">
        <v>87</v>
      </c>
      <c r="E19" s="12" t="s">
        <v>3</v>
      </c>
      <c r="F19" s="12"/>
      <c r="G19" s="12" t="s">
        <v>342</v>
      </c>
      <c r="H19" s="24" t="s">
        <v>343</v>
      </c>
      <c r="I19" s="14">
        <v>45910</v>
      </c>
      <c r="J19" s="14"/>
      <c r="K19" s="23">
        <f t="shared" si="10"/>
        <v>3.3333333333333335E-3</v>
      </c>
      <c r="L19" s="16">
        <v>0.01</v>
      </c>
      <c r="M19" s="16">
        <v>0</v>
      </c>
      <c r="N19" s="16">
        <v>0</v>
      </c>
      <c r="O19" s="12" t="s">
        <v>188</v>
      </c>
      <c r="P19" s="16"/>
      <c r="Q19" s="16"/>
    </row>
    <row r="20" spans="1:17" ht="75" x14ac:dyDescent="0.25">
      <c r="A20" s="12" t="s">
        <v>259</v>
      </c>
      <c r="B20" s="12" t="s">
        <v>344</v>
      </c>
      <c r="C20" s="15">
        <v>2190</v>
      </c>
      <c r="D20" s="12" t="s">
        <v>345</v>
      </c>
      <c r="E20" s="12" t="s">
        <v>3</v>
      </c>
      <c r="F20" s="12"/>
      <c r="G20" s="12" t="s">
        <v>293</v>
      </c>
      <c r="H20" s="24" t="s">
        <v>292</v>
      </c>
      <c r="I20" s="14">
        <v>45910</v>
      </c>
      <c r="J20" s="14"/>
      <c r="K20" s="23">
        <f t="shared" ref="K20" si="11">AVERAGE(L20:N20)</f>
        <v>3.3333333333333335E-3</v>
      </c>
      <c r="L20" s="16">
        <v>0.01</v>
      </c>
      <c r="M20" s="16">
        <v>0</v>
      </c>
      <c r="N20" s="16">
        <v>0</v>
      </c>
      <c r="P20" s="16"/>
      <c r="Q20" s="16"/>
    </row>
  </sheetData>
  <phoneticPr fontId="5" type="noConversion"/>
  <hyperlinks>
    <hyperlink ref="B7" r:id="rId1" xr:uid="{26F360D1-F7D8-4390-9C80-BDD8F9AF104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3D23-C67E-4CA8-ABB7-D3B8921C4390}">
  <dimension ref="A1:O1"/>
  <sheetViews>
    <sheetView workbookViewId="0">
      <selection sqref="A1:O1"/>
    </sheetView>
  </sheetViews>
  <sheetFormatPr defaultRowHeight="15" x14ac:dyDescent="0.25"/>
  <sheetData>
    <row r="1" spans="1:15" ht="150" x14ac:dyDescent="0.25">
      <c r="A1" s="29" t="s">
        <v>260</v>
      </c>
      <c r="B1" s="18" t="s">
        <v>261</v>
      </c>
      <c r="C1" s="19" t="s">
        <v>262</v>
      </c>
      <c r="D1" s="18" t="s">
        <v>258</v>
      </c>
      <c r="E1" s="30" t="s">
        <v>3</v>
      </c>
      <c r="F1" s="18"/>
      <c r="G1" s="18" t="s">
        <v>264</v>
      </c>
      <c r="H1" s="26" t="s">
        <v>263</v>
      </c>
      <c r="I1" s="31">
        <v>45853</v>
      </c>
      <c r="J1" s="31"/>
      <c r="K1" s="32">
        <f t="shared" ref="K1" si="0">AVERAGE(L1:N1)</f>
        <v>3.3333333333333335E-3</v>
      </c>
      <c r="L1" s="32">
        <v>0.01</v>
      </c>
      <c r="M1" s="32">
        <v>0</v>
      </c>
      <c r="N1" s="32">
        <v>0</v>
      </c>
      <c r="O1" s="33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3346-1B18-4457-8F16-B2D49D7FEC34}">
  <dimension ref="A1:O1"/>
  <sheetViews>
    <sheetView workbookViewId="0">
      <selection sqref="A1:XFD1"/>
    </sheetView>
  </sheetViews>
  <sheetFormatPr defaultRowHeight="15" x14ac:dyDescent="0.25"/>
  <sheetData>
    <row r="1" spans="1:15" ht="105" x14ac:dyDescent="0.25">
      <c r="A1" s="12" t="s">
        <v>249</v>
      </c>
      <c r="B1" s="12" t="s">
        <v>250</v>
      </c>
      <c r="C1" s="15" t="s">
        <v>252</v>
      </c>
      <c r="D1" s="12"/>
      <c r="E1" s="22" t="s">
        <v>3</v>
      </c>
      <c r="F1" s="12"/>
      <c r="G1" s="12" t="s">
        <v>253</v>
      </c>
      <c r="H1" s="24" t="s">
        <v>254</v>
      </c>
      <c r="I1" s="14"/>
      <c r="J1" s="14"/>
      <c r="K1" s="23">
        <f t="shared" ref="K1" si="0">AVERAGE(L1:N1)</f>
        <v>3.3333333333333335E-3</v>
      </c>
      <c r="L1" s="23">
        <v>0.01</v>
      </c>
      <c r="M1" s="23">
        <v>0</v>
      </c>
      <c r="N1" s="23">
        <v>0</v>
      </c>
      <c r="O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AED6-2070-4724-B092-F36A90711D6D}">
  <dimension ref="A1:O3"/>
  <sheetViews>
    <sheetView workbookViewId="0">
      <selection activeCell="G3" sqref="G3:H3"/>
    </sheetView>
  </sheetViews>
  <sheetFormatPr defaultRowHeight="15" x14ac:dyDescent="0.25"/>
  <cols>
    <col min="1" max="1" width="19.28515625" bestFit="1" customWidth="1"/>
    <col min="2" max="2" width="11.7109375" customWidth="1"/>
    <col min="3" max="3" width="20.5703125" bestFit="1" customWidth="1"/>
    <col min="4" max="4" width="44.7109375" bestFit="1" customWidth="1"/>
    <col min="5" max="5" width="18.5703125" bestFit="1" customWidth="1"/>
    <col min="6" max="6" width="11.42578125" bestFit="1" customWidth="1"/>
    <col min="7" max="7" width="14.5703125" bestFit="1" customWidth="1"/>
    <col min="8" max="8" width="38.85546875" customWidth="1"/>
    <col min="9" max="9" width="13.42578125" bestFit="1" customWidth="1"/>
    <col min="10" max="10" width="27.5703125" bestFit="1" customWidth="1"/>
    <col min="11" max="11" width="19.42578125" bestFit="1" customWidth="1"/>
    <col min="12" max="12" width="12" customWidth="1"/>
    <col min="13" max="13" width="9.5703125" bestFit="1" customWidth="1"/>
    <col min="14" max="14" width="13.7109375" bestFit="1" customWidth="1"/>
    <col min="15" max="15" width="12.85546875" bestFit="1" customWidth="1"/>
  </cols>
  <sheetData>
    <row r="1" spans="1:15" ht="120" x14ac:dyDescent="0.25">
      <c r="A1" s="12" t="s">
        <v>229</v>
      </c>
      <c r="B1" s="12" t="s">
        <v>230</v>
      </c>
      <c r="C1" s="15" t="s">
        <v>231</v>
      </c>
      <c r="D1" s="12" t="s">
        <v>143</v>
      </c>
      <c r="E1" s="12" t="s">
        <v>3</v>
      </c>
      <c r="G1" s="18" t="s">
        <v>232</v>
      </c>
      <c r="H1" s="19" t="s">
        <v>256</v>
      </c>
      <c r="I1" s="3"/>
      <c r="J1" s="3"/>
      <c r="K1" s="16">
        <f t="shared" ref="K1" si="0">AVERAGE(L1:N1)</f>
        <v>3.3333333333333335E-3</v>
      </c>
      <c r="L1" s="16">
        <v>0.01</v>
      </c>
      <c r="M1" s="16">
        <v>0</v>
      </c>
      <c r="N1" s="16">
        <v>0</v>
      </c>
      <c r="O1" s="12"/>
    </row>
    <row r="2" spans="1:15" ht="90" x14ac:dyDescent="0.25">
      <c r="G2" s="20" t="s">
        <v>242</v>
      </c>
      <c r="H2" s="25" t="s">
        <v>241</v>
      </c>
    </row>
    <row r="3" spans="1:15" ht="105" x14ac:dyDescent="0.25">
      <c r="G3" s="20" t="s">
        <v>246</v>
      </c>
      <c r="H3" s="25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C61B-46D5-4EDA-ACDD-706BC2FB7AE6}">
  <dimension ref="A1:O1"/>
  <sheetViews>
    <sheetView workbookViewId="0">
      <selection activeCell="H2" sqref="H2"/>
    </sheetView>
  </sheetViews>
  <sheetFormatPr defaultRowHeight="15" x14ac:dyDescent="0.25"/>
  <sheetData>
    <row r="1" spans="1:15" ht="135" x14ac:dyDescent="0.25">
      <c r="A1" s="12" t="s">
        <v>223</v>
      </c>
      <c r="B1" s="12" t="s">
        <v>224</v>
      </c>
      <c r="C1" s="15" t="s">
        <v>225</v>
      </c>
      <c r="D1" s="12" t="s">
        <v>226</v>
      </c>
      <c r="E1" s="12" t="s">
        <v>3</v>
      </c>
      <c r="G1" s="12" t="s">
        <v>227</v>
      </c>
      <c r="H1" s="15" t="s">
        <v>228</v>
      </c>
      <c r="I1" s="3">
        <v>45791</v>
      </c>
      <c r="J1" s="3"/>
      <c r="K1" s="16">
        <f t="shared" ref="K1" si="0">AVERAGE(L1:N1)</f>
        <v>3.3333333333333335E-3</v>
      </c>
      <c r="L1" s="16">
        <v>0.01</v>
      </c>
      <c r="M1" s="16">
        <v>0</v>
      </c>
      <c r="N1" s="16">
        <v>0</v>
      </c>
      <c r="O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6D8F-1A92-41EC-B1E9-352A8F5FBBC6}">
  <dimension ref="A1"/>
  <sheetViews>
    <sheetView workbookViewId="0"/>
  </sheetViews>
  <sheetFormatPr defaultRowHeight="15" x14ac:dyDescent="0.25"/>
  <sheetData>
    <row r="1" spans="1:1" x14ac:dyDescent="0.25">
      <c r="A1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C600-8A7D-4B93-B67E-95E2DE13F5FE}">
  <sheetPr codeName="Sheet2"/>
  <dimension ref="G1:T1"/>
  <sheetViews>
    <sheetView zoomScale="85" zoomScaleNormal="85" workbookViewId="0">
      <selection activeCell="M1" sqref="M1:N1"/>
    </sheetView>
  </sheetViews>
  <sheetFormatPr defaultRowHeight="15" x14ac:dyDescent="0.25"/>
  <cols>
    <col min="7" max="7" width="19.28515625" bestFit="1" customWidth="1"/>
    <col min="8" max="8" width="10.140625" bestFit="1" customWidth="1"/>
    <col min="9" max="9" width="20.5703125" bestFit="1" customWidth="1"/>
    <col min="10" max="10" width="44.7109375" bestFit="1" customWidth="1"/>
    <col min="11" max="11" width="18.5703125" bestFit="1" customWidth="1"/>
    <col min="12" max="12" width="25.7109375" bestFit="1" customWidth="1"/>
    <col min="14" max="14" width="15" bestFit="1" customWidth="1"/>
    <col min="15" max="15" width="10.7109375" bestFit="1" customWidth="1"/>
    <col min="16" max="16" width="22.7109375" bestFit="1" customWidth="1"/>
    <col min="17" max="17" width="14.7109375" bestFit="1" customWidth="1"/>
    <col min="18" max="18" width="10.7109375" bestFit="1" customWidth="1"/>
  </cols>
  <sheetData>
    <row r="1" spans="7:20" ht="135" x14ac:dyDescent="0.25">
      <c r="G1" t="s">
        <v>175</v>
      </c>
      <c r="H1" t="s">
        <v>176</v>
      </c>
      <c r="I1" s="2" t="s">
        <v>177</v>
      </c>
      <c r="J1" t="s">
        <v>178</v>
      </c>
      <c r="K1" t="s">
        <v>3</v>
      </c>
      <c r="M1" t="s">
        <v>179</v>
      </c>
      <c r="N1" s="2" t="s">
        <v>180</v>
      </c>
      <c r="O1" s="3">
        <v>45714</v>
      </c>
      <c r="P1" s="3"/>
      <c r="Q1" s="10">
        <f t="shared" ref="Q1" si="0">AVERAGE(R1:T1)</f>
        <v>3.3333333333333335E-3</v>
      </c>
      <c r="R1" s="10">
        <v>0.01</v>
      </c>
      <c r="S1" s="10">
        <v>0</v>
      </c>
      <c r="T1" s="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DD57-79F4-4D85-9478-F07B6301A8B1}">
  <sheetPr codeName="Sheet3"/>
  <dimension ref="A1:N1"/>
  <sheetViews>
    <sheetView workbookViewId="0">
      <selection activeCell="G1" sqref="G1:H1"/>
    </sheetView>
  </sheetViews>
  <sheetFormatPr defaultRowHeight="15" x14ac:dyDescent="0.25"/>
  <cols>
    <col min="1" max="1" width="19.28515625" bestFit="1" customWidth="1"/>
    <col min="2" max="2" width="10.140625" bestFit="1" customWidth="1"/>
    <col min="3" max="3" width="20.5703125" bestFit="1" customWidth="1"/>
    <col min="4" max="4" width="44.7109375" bestFit="1" customWidth="1"/>
    <col min="5" max="5" width="18.570312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4" ht="105" x14ac:dyDescent="0.25">
      <c r="A1" t="s">
        <v>148</v>
      </c>
      <c r="B1" t="s">
        <v>149</v>
      </c>
      <c r="C1" s="2" t="s">
        <v>150</v>
      </c>
      <c r="D1" t="s">
        <v>151</v>
      </c>
      <c r="E1" t="s">
        <v>3</v>
      </c>
      <c r="G1" t="s">
        <v>153</v>
      </c>
      <c r="H1" s="2" t="s">
        <v>152</v>
      </c>
      <c r="I1" s="3">
        <v>45673</v>
      </c>
      <c r="J1" s="3"/>
      <c r="K1" s="1">
        <f t="shared" ref="K1" si="0">AVERAGE(L1:N1)</f>
        <v>3.3333333333333335E-3</v>
      </c>
      <c r="L1" s="1">
        <v>0.01</v>
      </c>
      <c r="M1" s="1">
        <v>0</v>
      </c>
      <c r="N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7B4E-F043-4D65-BDDA-6730AAFE196D}">
  <sheetPr codeName="Sheet4"/>
  <dimension ref="A1:N1"/>
  <sheetViews>
    <sheetView workbookViewId="0">
      <selection sqref="A1:XFD1"/>
    </sheetView>
  </sheetViews>
  <sheetFormatPr defaultRowHeight="15" x14ac:dyDescent="0.25"/>
  <sheetData>
    <row r="1" spans="1:14" ht="120" x14ac:dyDescent="0.25">
      <c r="A1" t="s">
        <v>122</v>
      </c>
      <c r="B1" t="s">
        <v>123</v>
      </c>
      <c r="C1" t="s">
        <v>131</v>
      </c>
      <c r="D1" t="s">
        <v>125</v>
      </c>
      <c r="E1" t="s">
        <v>129</v>
      </c>
      <c r="G1" t="s">
        <v>127</v>
      </c>
      <c r="H1" s="2" t="s">
        <v>128</v>
      </c>
      <c r="I1" s="3">
        <v>45601</v>
      </c>
      <c r="J1" s="3">
        <v>45608</v>
      </c>
      <c r="K1" s="1">
        <f>AVERAGE(L1:N1)</f>
        <v>0.39500000000000002</v>
      </c>
      <c r="L1" s="1">
        <v>0.79</v>
      </c>
      <c r="M1" s="1"/>
      <c r="N1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47BC-FCB8-4254-BCB9-852A4E37C454}">
  <sheetPr codeName="Sheet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E43C-34D0-41D6-B268-0374470E6A51}">
  <sheetPr codeName="Sheet6"/>
  <dimension ref="A1:N11"/>
  <sheetViews>
    <sheetView topLeftCell="A7" workbookViewId="0">
      <selection activeCell="G11" sqref="G11:H11"/>
    </sheetView>
  </sheetViews>
  <sheetFormatPr defaultRowHeight="15" x14ac:dyDescent="0.25"/>
  <cols>
    <col min="1" max="1" width="16.85546875" bestFit="1" customWidth="1"/>
    <col min="8" max="8" width="14.7109375" bestFit="1" customWidth="1"/>
  </cols>
  <sheetData>
    <row r="1" spans="1:14" ht="240" x14ac:dyDescent="0.25">
      <c r="A1" t="s">
        <v>107</v>
      </c>
      <c r="B1" t="s">
        <v>108</v>
      </c>
      <c r="C1" t="s">
        <v>109</v>
      </c>
      <c r="D1" t="s">
        <v>110</v>
      </c>
      <c r="E1" t="s">
        <v>50</v>
      </c>
      <c r="G1" t="s">
        <v>111</v>
      </c>
      <c r="H1" s="2" t="s">
        <v>112</v>
      </c>
      <c r="I1" s="3">
        <v>45594</v>
      </c>
      <c r="J1" s="3"/>
      <c r="K1" s="1">
        <f t="shared" ref="K1" si="0">AVERAGE(L1:N1)</f>
        <v>3.3333333333333335E-3</v>
      </c>
      <c r="L1" s="1">
        <v>0.01</v>
      </c>
      <c r="M1" s="1">
        <v>0</v>
      </c>
      <c r="N1" s="1">
        <v>0</v>
      </c>
    </row>
    <row r="2" spans="1:14" ht="150" x14ac:dyDescent="0.25">
      <c r="A2" t="s">
        <v>107</v>
      </c>
      <c r="B2" t="s">
        <v>108</v>
      </c>
      <c r="C2" t="s">
        <v>109</v>
      </c>
      <c r="D2" t="s">
        <v>110</v>
      </c>
      <c r="E2" t="s">
        <v>119</v>
      </c>
      <c r="G2" t="s">
        <v>111</v>
      </c>
      <c r="H2" s="2" t="s">
        <v>112</v>
      </c>
      <c r="I2" s="3">
        <v>45594</v>
      </c>
      <c r="J2" s="3">
        <v>45607</v>
      </c>
      <c r="K2" s="1">
        <f>AVERAGE(L2:N2)</f>
        <v>0.83333333333333337</v>
      </c>
      <c r="L2" s="1">
        <v>1</v>
      </c>
      <c r="M2" s="1">
        <v>1</v>
      </c>
      <c r="N2" s="1">
        <v>0.5</v>
      </c>
    </row>
    <row r="3" spans="1:14" ht="165" x14ac:dyDescent="0.25">
      <c r="A3" t="s">
        <v>144</v>
      </c>
      <c r="B3" t="s">
        <v>142</v>
      </c>
      <c r="C3" t="s">
        <v>145</v>
      </c>
      <c r="D3" t="s">
        <v>143</v>
      </c>
      <c r="E3" t="s">
        <v>119</v>
      </c>
      <c r="G3" t="s">
        <v>146</v>
      </c>
      <c r="H3" s="2" t="s">
        <v>147</v>
      </c>
    </row>
    <row r="4" spans="1:14" ht="60" x14ac:dyDescent="0.25">
      <c r="A4" t="s">
        <v>168</v>
      </c>
      <c r="G4" t="s">
        <v>172</v>
      </c>
      <c r="H4" s="2" t="s">
        <v>173</v>
      </c>
    </row>
    <row r="5" spans="1:14" ht="105" x14ac:dyDescent="0.25">
      <c r="A5" t="s">
        <v>196</v>
      </c>
      <c r="G5" t="s">
        <v>197</v>
      </c>
      <c r="H5" s="2" t="s">
        <v>198</v>
      </c>
    </row>
    <row r="6" spans="1:14" ht="225" x14ac:dyDescent="0.25">
      <c r="A6" t="s">
        <v>144</v>
      </c>
      <c r="B6" t="s">
        <v>194</v>
      </c>
      <c r="C6" t="s">
        <v>195</v>
      </c>
      <c r="D6" t="s">
        <v>143</v>
      </c>
      <c r="E6" t="s">
        <v>119</v>
      </c>
      <c r="G6" t="s">
        <v>146</v>
      </c>
      <c r="H6" s="2" t="s">
        <v>199</v>
      </c>
    </row>
    <row r="7" spans="1:14" ht="105" x14ac:dyDescent="0.25">
      <c r="A7" t="s">
        <v>201</v>
      </c>
      <c r="G7" s="18" t="s">
        <v>202</v>
      </c>
      <c r="H7" s="19" t="s">
        <v>203</v>
      </c>
    </row>
    <row r="8" spans="1:14" ht="180" x14ac:dyDescent="0.25">
      <c r="A8" t="s">
        <v>144</v>
      </c>
      <c r="G8" t="s">
        <v>204</v>
      </c>
      <c r="H8" s="19" t="s">
        <v>200</v>
      </c>
    </row>
    <row r="9" spans="1:14" ht="120" x14ac:dyDescent="0.25">
      <c r="A9" t="s">
        <v>208</v>
      </c>
      <c r="G9" s="27" t="s">
        <v>209</v>
      </c>
      <c r="H9" s="28" t="s">
        <v>257</v>
      </c>
    </row>
    <row r="10" spans="1:14" ht="150" x14ac:dyDescent="0.25">
      <c r="A10" t="s">
        <v>266</v>
      </c>
      <c r="G10" s="20" t="s">
        <v>268</v>
      </c>
      <c r="H10" s="25" t="s">
        <v>267</v>
      </c>
    </row>
    <row r="11" spans="1:14" ht="180" x14ac:dyDescent="0.25">
      <c r="A11" t="s">
        <v>269</v>
      </c>
      <c r="G11" t="s">
        <v>271</v>
      </c>
      <c r="H11" s="2" t="s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6A84-AE24-42C1-9ACE-61338A6CCCB5}">
  <sheetPr codeName="Sheet7"/>
  <dimension ref="A1:N2"/>
  <sheetViews>
    <sheetView workbookViewId="0">
      <selection activeCell="G2" sqref="G2:H2"/>
    </sheetView>
  </sheetViews>
  <sheetFormatPr defaultRowHeight="15" x14ac:dyDescent="0.25"/>
  <sheetData>
    <row r="1" spans="1:14" ht="150" x14ac:dyDescent="0.25">
      <c r="A1" t="s">
        <v>97</v>
      </c>
      <c r="B1" t="s">
        <v>100</v>
      </c>
      <c r="C1" t="s">
        <v>102</v>
      </c>
      <c r="D1" t="s">
        <v>101</v>
      </c>
      <c r="E1" t="s">
        <v>3</v>
      </c>
      <c r="G1" t="s">
        <v>98</v>
      </c>
      <c r="H1" s="2" t="s">
        <v>99</v>
      </c>
      <c r="I1" s="3">
        <v>45581</v>
      </c>
      <c r="J1" s="3"/>
      <c r="K1" s="1">
        <f t="shared" ref="K1" si="0">AVERAGE(L1:N1)</f>
        <v>3.3333333333333335E-3</v>
      </c>
      <c r="L1" s="1">
        <v>0.01</v>
      </c>
      <c r="M1" s="1">
        <v>0</v>
      </c>
      <c r="N1" s="1">
        <v>0</v>
      </c>
    </row>
    <row r="2" spans="1:14" ht="150" x14ac:dyDescent="0.25">
      <c r="A2" t="s">
        <v>97</v>
      </c>
      <c r="B2" t="s">
        <v>103</v>
      </c>
      <c r="C2" t="s">
        <v>104</v>
      </c>
      <c r="D2" t="s">
        <v>105</v>
      </c>
      <c r="E2" t="s">
        <v>119</v>
      </c>
      <c r="G2" t="s">
        <v>98</v>
      </c>
      <c r="H2" s="2" t="s">
        <v>99</v>
      </c>
      <c r="I2" s="3">
        <v>45586</v>
      </c>
      <c r="J2" s="3">
        <v>45607</v>
      </c>
      <c r="K2" s="1">
        <f>AVERAGE(L2:N2)</f>
        <v>0.83333333333333337</v>
      </c>
      <c r="L2" s="1">
        <v>1</v>
      </c>
      <c r="M2" s="1">
        <v>1</v>
      </c>
      <c r="N2" s="1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FE4C-93AE-4A17-B885-5CDEB0275FB6}">
  <sheetPr codeName="Sheet8"/>
  <dimension ref="A1:N5"/>
  <sheetViews>
    <sheetView workbookViewId="0">
      <selection activeCell="G3" sqref="G3:H3"/>
    </sheetView>
  </sheetViews>
  <sheetFormatPr defaultRowHeight="15" x14ac:dyDescent="0.25"/>
  <cols>
    <col min="1" max="1" width="18" bestFit="1" customWidth="1"/>
    <col min="3" max="3" width="8.5703125" bestFit="1" customWidth="1"/>
    <col min="4" max="4" width="23" bestFit="1" customWidth="1"/>
    <col min="5" max="5" width="12.85546875" bestFit="1" customWidth="1"/>
    <col min="8" max="8" width="28.85546875" style="9" customWidth="1"/>
    <col min="9" max="9" width="10.7109375" bestFit="1" customWidth="1"/>
  </cols>
  <sheetData>
    <row r="1" spans="1:14" ht="60" x14ac:dyDescent="0.25">
      <c r="A1" t="s">
        <v>84</v>
      </c>
      <c r="B1" t="s">
        <v>85</v>
      </c>
      <c r="C1" t="s">
        <v>86</v>
      </c>
      <c r="D1" t="s">
        <v>87</v>
      </c>
      <c r="E1" t="s">
        <v>50</v>
      </c>
      <c r="G1" t="s">
        <v>88</v>
      </c>
      <c r="H1" s="11" t="s">
        <v>89</v>
      </c>
      <c r="I1" s="3">
        <v>45573</v>
      </c>
      <c r="J1" s="3"/>
      <c r="K1" s="1">
        <f t="shared" ref="K1:K2" si="0">AVERAGE(L1:N1)</f>
        <v>3.3333333333333335E-3</v>
      </c>
      <c r="L1" s="1">
        <v>0.01</v>
      </c>
      <c r="M1" s="1">
        <v>0</v>
      </c>
      <c r="N1" s="1">
        <v>0</v>
      </c>
    </row>
    <row r="2" spans="1:14" ht="75" x14ac:dyDescent="0.25">
      <c r="A2" t="s">
        <v>132</v>
      </c>
      <c r="B2" t="s">
        <v>133</v>
      </c>
      <c r="C2" s="9" t="s">
        <v>134</v>
      </c>
      <c r="D2" t="s">
        <v>135</v>
      </c>
      <c r="E2" t="s">
        <v>50</v>
      </c>
      <c r="G2" t="s">
        <v>136</v>
      </c>
      <c r="H2" s="11" t="s">
        <v>137</v>
      </c>
      <c r="I2" s="3">
        <v>45608</v>
      </c>
      <c r="J2" s="3"/>
      <c r="K2" s="1">
        <f t="shared" si="0"/>
        <v>3.3333333333333335E-3</v>
      </c>
      <c r="L2" s="1">
        <v>0.01</v>
      </c>
      <c r="M2" s="1">
        <v>0</v>
      </c>
      <c r="N2" s="1">
        <v>0</v>
      </c>
    </row>
    <row r="3" spans="1:14" ht="90" x14ac:dyDescent="0.25">
      <c r="A3" t="s">
        <v>181</v>
      </c>
      <c r="B3" t="s">
        <v>182</v>
      </c>
      <c r="C3" t="s">
        <v>183</v>
      </c>
      <c r="D3" t="s">
        <v>184</v>
      </c>
      <c r="E3" t="s">
        <v>50</v>
      </c>
      <c r="G3" t="s">
        <v>185</v>
      </c>
      <c r="H3" s="11" t="s">
        <v>186</v>
      </c>
      <c r="I3" s="3">
        <v>45715</v>
      </c>
      <c r="K3" s="1">
        <f t="shared" ref="K3" si="1">AVERAGE(L3:N3)</f>
        <v>3.3333333333333335E-3</v>
      </c>
      <c r="L3" s="1">
        <v>0.01</v>
      </c>
      <c r="M3" s="1">
        <v>0</v>
      </c>
      <c r="N3" s="1">
        <v>0</v>
      </c>
    </row>
    <row r="4" spans="1:14" ht="45" x14ac:dyDescent="0.25">
      <c r="A4" t="s">
        <v>191</v>
      </c>
      <c r="G4" t="s">
        <v>192</v>
      </c>
      <c r="H4" s="11" t="s">
        <v>193</v>
      </c>
      <c r="I4" s="17">
        <v>45747</v>
      </c>
    </row>
    <row r="5" spans="1:14" ht="75" x14ac:dyDescent="0.25">
      <c r="G5" s="18" t="s">
        <v>244</v>
      </c>
      <c r="H5" s="26" t="s">
        <v>243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FAED-5D08-4AE6-8411-44182D2033F1}">
  <sheetPr codeName="Sheet9"/>
  <dimension ref="A1:N1"/>
  <sheetViews>
    <sheetView workbookViewId="0">
      <selection sqref="A1:N1"/>
    </sheetView>
  </sheetViews>
  <sheetFormatPr defaultRowHeight="15" x14ac:dyDescent="0.25"/>
  <sheetData>
    <row r="1" spans="1:14" ht="135" x14ac:dyDescent="0.25">
      <c r="A1" t="s">
        <v>68</v>
      </c>
      <c r="B1" t="s">
        <v>69</v>
      </c>
      <c r="C1" t="s">
        <v>67</v>
      </c>
      <c r="D1" t="s">
        <v>70</v>
      </c>
      <c r="E1" t="s">
        <v>71</v>
      </c>
      <c r="G1" t="s">
        <v>72</v>
      </c>
      <c r="H1" s="2" t="s">
        <v>73</v>
      </c>
      <c r="I1" s="3">
        <v>45558</v>
      </c>
      <c r="J1" s="3"/>
      <c r="K1" s="1">
        <f t="shared" ref="K1" si="0">AVERAGE(L1:N1)</f>
        <v>0</v>
      </c>
      <c r="L1" s="1">
        <v>0</v>
      </c>
      <c r="M1" s="1">
        <v>0</v>
      </c>
      <c r="N1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E617-A467-4FF1-9F26-EF949EDBDBD8}">
  <sheetPr codeName="Sheet10"/>
  <dimension ref="A1:N2"/>
  <sheetViews>
    <sheetView workbookViewId="0">
      <selection activeCell="G2" sqref="G2:H2"/>
    </sheetView>
  </sheetViews>
  <sheetFormatPr defaultRowHeight="15" x14ac:dyDescent="0.25"/>
  <sheetData>
    <row r="1" spans="1:14" ht="120" x14ac:dyDescent="0.25">
      <c r="A1" t="s">
        <v>76</v>
      </c>
      <c r="B1" t="s">
        <v>77</v>
      </c>
      <c r="C1" s="9">
        <v>8021</v>
      </c>
      <c r="D1" t="s">
        <v>78</v>
      </c>
      <c r="E1" t="s">
        <v>50</v>
      </c>
      <c r="G1" t="s">
        <v>79</v>
      </c>
      <c r="H1" s="2" t="s">
        <v>80</v>
      </c>
      <c r="I1" s="3">
        <v>45565</v>
      </c>
      <c r="J1" s="3">
        <v>45576</v>
      </c>
      <c r="K1" s="1">
        <f t="shared" ref="K1" si="0">AVERAGE(L1:N1)</f>
        <v>1.6666666666666666E-2</v>
      </c>
      <c r="L1" s="1">
        <v>0.05</v>
      </c>
      <c r="M1" s="1">
        <v>0</v>
      </c>
      <c r="N1" s="1">
        <v>0</v>
      </c>
    </row>
    <row r="2" spans="1:14" ht="120" x14ac:dyDescent="0.25">
      <c r="A2" t="s">
        <v>130</v>
      </c>
      <c r="B2" t="s">
        <v>121</v>
      </c>
      <c r="C2">
        <v>8182</v>
      </c>
      <c r="D2" t="s">
        <v>124</v>
      </c>
      <c r="E2" t="s">
        <v>119</v>
      </c>
      <c r="G2" t="s">
        <v>79</v>
      </c>
      <c r="H2" s="2" t="s">
        <v>80</v>
      </c>
      <c r="I2" s="3">
        <v>45601</v>
      </c>
      <c r="J2" s="3">
        <v>45607</v>
      </c>
      <c r="K2" s="1">
        <f>AVERAGE(L2:N2)</f>
        <v>0.83333333333333337</v>
      </c>
      <c r="L2" s="1">
        <v>1</v>
      </c>
      <c r="M2" s="1">
        <v>1</v>
      </c>
      <c r="N2" s="1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41D3-B258-4401-B35A-38B75F91897C}">
  <sheetPr codeName="Sheet1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5A1D-BC75-4FA1-87DF-3A3A945A281D}">
  <sheetPr codeName="Sheet12"/>
  <dimension ref="A1:N11"/>
  <sheetViews>
    <sheetView zoomScale="85" zoomScaleNormal="85" workbookViewId="0">
      <selection activeCell="G5" sqref="G5:H5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22.28515625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4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4" ht="120" x14ac:dyDescent="0.25">
      <c r="A2" t="s">
        <v>51</v>
      </c>
      <c r="B2" t="s">
        <v>58</v>
      </c>
      <c r="C2">
        <v>923</v>
      </c>
      <c r="D2" t="s">
        <v>57</v>
      </c>
      <c r="E2" t="s">
        <v>65</v>
      </c>
      <c r="G2" t="s">
        <v>53</v>
      </c>
      <c r="H2" s="2" t="s">
        <v>55</v>
      </c>
      <c r="I2" s="3">
        <v>45544</v>
      </c>
      <c r="J2" s="3">
        <v>45558</v>
      </c>
      <c r="K2" s="1">
        <f>AVERAGE(L2:N2)</f>
        <v>0.66666666666666663</v>
      </c>
      <c r="L2" s="1">
        <v>1</v>
      </c>
      <c r="M2" s="1">
        <v>1</v>
      </c>
      <c r="N2" s="1">
        <v>0</v>
      </c>
    </row>
    <row r="4" spans="1:14" ht="105" x14ac:dyDescent="0.25">
      <c r="A4" t="s">
        <v>52</v>
      </c>
      <c r="B4" t="s">
        <v>64</v>
      </c>
      <c r="C4">
        <v>919</v>
      </c>
      <c r="D4" t="s">
        <v>66</v>
      </c>
      <c r="E4" t="s">
        <v>50</v>
      </c>
      <c r="G4" t="s">
        <v>54</v>
      </c>
      <c r="H4" s="2" t="s">
        <v>56</v>
      </c>
      <c r="I4" s="3">
        <v>45548</v>
      </c>
      <c r="J4" s="3">
        <v>45558</v>
      </c>
      <c r="K4" s="1">
        <f>AVERAGE(L4:N4)</f>
        <v>0.33333333333333331</v>
      </c>
      <c r="L4" s="1">
        <v>1</v>
      </c>
      <c r="M4" s="1">
        <v>0</v>
      </c>
      <c r="N4" s="1">
        <v>0</v>
      </c>
    </row>
    <row r="5" spans="1:14" ht="120" x14ac:dyDescent="0.25">
      <c r="A5" t="s">
        <v>74</v>
      </c>
      <c r="B5" t="s">
        <v>81</v>
      </c>
      <c r="C5" s="9">
        <v>982</v>
      </c>
      <c r="D5" t="s">
        <v>82</v>
      </c>
      <c r="E5" t="s">
        <v>50</v>
      </c>
      <c r="G5" t="s">
        <v>83</v>
      </c>
      <c r="H5" s="2" t="s">
        <v>75</v>
      </c>
      <c r="I5" s="3">
        <v>45566</v>
      </c>
      <c r="J5" s="3"/>
      <c r="K5" s="1">
        <f t="shared" ref="K5" si="0">AVERAGE(L5:N5)</f>
        <v>3.3333333333333335E-3</v>
      </c>
      <c r="L5" s="1">
        <v>0.01</v>
      </c>
      <c r="M5" s="1">
        <v>0</v>
      </c>
      <c r="N5" s="1">
        <v>0</v>
      </c>
    </row>
    <row r="6" spans="1:14" ht="135" x14ac:dyDescent="0.25">
      <c r="A6" t="s">
        <v>113</v>
      </c>
      <c r="B6" t="s">
        <v>114</v>
      </c>
      <c r="C6">
        <v>1055</v>
      </c>
      <c r="D6" t="s">
        <v>106</v>
      </c>
      <c r="E6" t="s">
        <v>119</v>
      </c>
      <c r="G6" t="s">
        <v>115</v>
      </c>
      <c r="H6" s="2" t="s">
        <v>116</v>
      </c>
      <c r="I6" s="3">
        <v>45595</v>
      </c>
      <c r="J6" s="3">
        <v>45608</v>
      </c>
      <c r="K6" s="1">
        <f>AVERAGE(L6:N6)</f>
        <v>0.83333333333333337</v>
      </c>
      <c r="L6" s="1">
        <v>1</v>
      </c>
      <c r="M6" s="1">
        <v>1</v>
      </c>
      <c r="N6" s="1">
        <v>0.5</v>
      </c>
    </row>
    <row r="7" spans="1:14" ht="105" x14ac:dyDescent="0.25">
      <c r="A7" t="s">
        <v>52</v>
      </c>
      <c r="B7" t="s">
        <v>117</v>
      </c>
      <c r="C7">
        <v>1061</v>
      </c>
      <c r="D7" t="s">
        <v>118</v>
      </c>
      <c r="E7" t="s">
        <v>119</v>
      </c>
      <c r="G7" t="s">
        <v>54</v>
      </c>
      <c r="H7" s="2" t="s">
        <v>56</v>
      </c>
      <c r="I7" s="3">
        <v>45596</v>
      </c>
      <c r="J7" s="3">
        <v>45607</v>
      </c>
      <c r="K7" s="1">
        <f>AVERAGE(L7:N7)</f>
        <v>0.83333333333333337</v>
      </c>
      <c r="L7" s="1">
        <v>1</v>
      </c>
      <c r="M7" s="1">
        <v>1</v>
      </c>
      <c r="N7" s="1">
        <v>0.5</v>
      </c>
    </row>
    <row r="8" spans="1:14" ht="105" x14ac:dyDescent="0.25">
      <c r="A8" t="s">
        <v>52</v>
      </c>
      <c r="B8" t="s">
        <v>120</v>
      </c>
      <c r="C8">
        <v>1068</v>
      </c>
      <c r="D8" t="s">
        <v>126</v>
      </c>
      <c r="E8" t="s">
        <v>119</v>
      </c>
      <c r="G8" t="s">
        <v>54</v>
      </c>
      <c r="H8" s="2" t="s">
        <v>56</v>
      </c>
      <c r="I8" s="3">
        <v>45601</v>
      </c>
      <c r="J8" s="3">
        <v>45607</v>
      </c>
      <c r="K8" s="1">
        <f>AVERAGE(L8:N8)</f>
        <v>0.83333333333333337</v>
      </c>
      <c r="L8" s="1">
        <v>1</v>
      </c>
      <c r="M8" s="1">
        <v>1</v>
      </c>
      <c r="N8" s="1">
        <v>0.5</v>
      </c>
    </row>
    <row r="9" spans="1:14" ht="135" x14ac:dyDescent="0.25">
      <c r="A9" t="s">
        <v>210</v>
      </c>
      <c r="G9" t="s">
        <v>155</v>
      </c>
      <c r="H9" s="2" t="s">
        <v>154</v>
      </c>
    </row>
    <row r="10" spans="1:14" ht="150" x14ac:dyDescent="0.25">
      <c r="A10" t="s">
        <v>211</v>
      </c>
      <c r="G10" t="s">
        <v>157</v>
      </c>
      <c r="H10" s="2" t="s">
        <v>158</v>
      </c>
    </row>
    <row r="11" spans="1:14" ht="105" x14ac:dyDescent="0.25">
      <c r="A11" t="s">
        <v>212</v>
      </c>
      <c r="B11" t="s">
        <v>213</v>
      </c>
      <c r="C11">
        <v>1662</v>
      </c>
      <c r="D11" t="s">
        <v>214</v>
      </c>
      <c r="E11" t="s">
        <v>50</v>
      </c>
      <c r="G11" s="27" t="s">
        <v>215</v>
      </c>
      <c r="H11" s="28" t="s">
        <v>255</v>
      </c>
      <c r="I11" t="s">
        <v>216</v>
      </c>
      <c r="J11" s="3">
        <v>45804</v>
      </c>
      <c r="K11" s="1">
        <f t="shared" ref="K11" si="1">AVERAGE(L11:N11)</f>
        <v>3.3333333333333335E-3</v>
      </c>
      <c r="L11" s="1">
        <v>0.01</v>
      </c>
      <c r="M11" s="1">
        <v>0</v>
      </c>
      <c r="N11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7BE0-FFB9-4B90-8DED-BF6F26F67C60}">
  <sheetPr codeName="Sheet13"/>
  <dimension ref="A1:W7"/>
  <sheetViews>
    <sheetView zoomScale="85" zoomScaleNormal="85" workbookViewId="0">
      <selection activeCell="G4" sqref="G4:H4"/>
    </sheetView>
  </sheetViews>
  <sheetFormatPr defaultRowHeight="15" x14ac:dyDescent="0.25"/>
  <cols>
    <col min="1" max="1" width="17.42578125" bestFit="1" customWidth="1"/>
    <col min="2" max="2" width="10.1406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23" s="6" customFormat="1" x14ac:dyDescent="0.25">
      <c r="A1" s="6" t="s">
        <v>36</v>
      </c>
      <c r="B1" s="6" t="s">
        <v>35</v>
      </c>
      <c r="C1" s="6" t="s">
        <v>34</v>
      </c>
      <c r="D1" s="6" t="s">
        <v>33</v>
      </c>
      <c r="E1" s="6" t="s">
        <v>32</v>
      </c>
      <c r="F1" s="7" t="s">
        <v>31</v>
      </c>
      <c r="G1" s="6" t="s">
        <v>30</v>
      </c>
      <c r="H1" s="6" t="s">
        <v>29</v>
      </c>
      <c r="I1" s="8" t="s">
        <v>28</v>
      </c>
      <c r="J1" s="6" t="s">
        <v>27</v>
      </c>
      <c r="K1" s="6" t="s">
        <v>26</v>
      </c>
      <c r="L1" s="6" t="s">
        <v>25</v>
      </c>
      <c r="M1" s="6" t="s">
        <v>24</v>
      </c>
      <c r="N1" s="6" t="s">
        <v>23</v>
      </c>
    </row>
    <row r="2" spans="1:23" ht="135" x14ac:dyDescent="0.25">
      <c r="A2" t="s">
        <v>17</v>
      </c>
      <c r="B2" t="s">
        <v>37</v>
      </c>
      <c r="C2" t="s">
        <v>38</v>
      </c>
      <c r="D2" t="s">
        <v>39</v>
      </c>
      <c r="E2" t="s">
        <v>3</v>
      </c>
      <c r="F2" t="s">
        <v>0</v>
      </c>
      <c r="G2" t="s">
        <v>21</v>
      </c>
      <c r="H2" s="2" t="s">
        <v>18</v>
      </c>
      <c r="I2" s="3">
        <v>45491</v>
      </c>
      <c r="J2" s="3">
        <v>45505</v>
      </c>
      <c r="K2" s="1">
        <v>3.3333333333333335E-3</v>
      </c>
      <c r="L2" s="1">
        <v>0.01</v>
      </c>
      <c r="M2" s="1">
        <v>0</v>
      </c>
      <c r="N2" s="1">
        <v>0</v>
      </c>
      <c r="P2" s="2" t="s">
        <v>2</v>
      </c>
      <c r="Q2" t="s">
        <v>4</v>
      </c>
      <c r="R2" t="s">
        <v>17</v>
      </c>
      <c r="S2" t="s">
        <v>16</v>
      </c>
      <c r="T2" t="s">
        <v>15</v>
      </c>
      <c r="U2" t="s">
        <v>14</v>
      </c>
      <c r="V2" t="s">
        <v>22</v>
      </c>
      <c r="W2" t="s">
        <v>21</v>
      </c>
    </row>
    <row r="3" spans="1:23" ht="90" x14ac:dyDescent="0.25">
      <c r="A3" t="s">
        <v>11</v>
      </c>
      <c r="B3" t="s">
        <v>46</v>
      </c>
      <c r="C3" t="s">
        <v>47</v>
      </c>
      <c r="D3" t="s">
        <v>48</v>
      </c>
      <c r="E3" t="s">
        <v>3</v>
      </c>
      <c r="F3" t="s">
        <v>10</v>
      </c>
      <c r="G3" t="s">
        <v>9</v>
      </c>
      <c r="H3" s="2" t="s">
        <v>49</v>
      </c>
      <c r="I3" s="3">
        <v>45495</v>
      </c>
      <c r="J3" s="3">
        <v>45505</v>
      </c>
      <c r="K3" s="1">
        <f>AVERAGE(L3:N3)</f>
        <v>3.3333333333333335E-3</v>
      </c>
      <c r="L3" s="1">
        <v>0.01</v>
      </c>
      <c r="M3" s="1">
        <v>0</v>
      </c>
      <c r="N3" s="1">
        <v>0</v>
      </c>
      <c r="Q3" t="s">
        <v>8</v>
      </c>
      <c r="R3" t="s">
        <v>7</v>
      </c>
      <c r="S3" t="s">
        <v>6</v>
      </c>
      <c r="T3" t="s">
        <v>5</v>
      </c>
      <c r="U3" t="s">
        <v>4</v>
      </c>
    </row>
    <row r="4" spans="1:23" ht="135" x14ac:dyDescent="0.25">
      <c r="G4" t="s">
        <v>83</v>
      </c>
      <c r="H4" s="2" t="s">
        <v>174</v>
      </c>
    </row>
    <row r="5" spans="1:23" ht="120" x14ac:dyDescent="0.25">
      <c r="G5" t="s">
        <v>189</v>
      </c>
      <c r="H5" s="2" t="s">
        <v>190</v>
      </c>
    </row>
    <row r="6" spans="1:23" ht="120" x14ac:dyDescent="0.25">
      <c r="G6" s="18" t="s">
        <v>233</v>
      </c>
      <c r="H6" s="26" t="s">
        <v>234</v>
      </c>
    </row>
    <row r="7" spans="1:23" ht="195" x14ac:dyDescent="0.25">
      <c r="A7" t="s">
        <v>251</v>
      </c>
      <c r="G7" s="20" t="s">
        <v>248</v>
      </c>
      <c r="H7" s="25" t="s">
        <v>247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2409-2786-47C8-BE3C-F7BF22FFF262}">
  <sheetPr codeName="Sheet14"/>
  <dimension ref="A1:P3"/>
  <sheetViews>
    <sheetView workbookViewId="0">
      <selection activeCell="A2" sqref="A2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6" s="6" customFormat="1" x14ac:dyDescent="0.25">
      <c r="A1" s="6" t="s">
        <v>36</v>
      </c>
      <c r="B1" s="6" t="s">
        <v>35</v>
      </c>
      <c r="C1" s="6" t="s">
        <v>34</v>
      </c>
      <c r="D1" s="6" t="s">
        <v>33</v>
      </c>
      <c r="E1" s="6" t="s">
        <v>32</v>
      </c>
      <c r="F1" s="7" t="s">
        <v>31</v>
      </c>
      <c r="G1" s="6" t="s">
        <v>30</v>
      </c>
      <c r="H1" s="6" t="s">
        <v>29</v>
      </c>
      <c r="I1" s="8" t="s">
        <v>28</v>
      </c>
      <c r="J1" s="6" t="s">
        <v>27</v>
      </c>
      <c r="K1" s="6" t="s">
        <v>26</v>
      </c>
      <c r="L1" s="6" t="s">
        <v>25</v>
      </c>
      <c r="M1" s="6" t="s">
        <v>24</v>
      </c>
      <c r="N1" s="6" t="s">
        <v>23</v>
      </c>
    </row>
    <row r="2" spans="1:16" ht="120" x14ac:dyDescent="0.25">
      <c r="A2" t="s">
        <v>20</v>
      </c>
      <c r="B2" t="s">
        <v>43</v>
      </c>
      <c r="C2" t="s">
        <v>44</v>
      </c>
      <c r="D2" t="s">
        <v>45</v>
      </c>
      <c r="E2" t="s">
        <v>3</v>
      </c>
      <c r="F2" t="s">
        <v>3</v>
      </c>
      <c r="G2" s="4" t="s">
        <v>19</v>
      </c>
      <c r="H2" s="2" t="s">
        <v>90</v>
      </c>
      <c r="I2" s="3">
        <v>45495</v>
      </c>
      <c r="J2" s="3">
        <v>45505</v>
      </c>
      <c r="K2" s="1">
        <v>3.3333333333333335E-3</v>
      </c>
      <c r="L2" s="1">
        <v>0.01</v>
      </c>
      <c r="M2" s="1">
        <v>0</v>
      </c>
      <c r="N2" s="1">
        <v>0</v>
      </c>
      <c r="P2" s="2" t="s">
        <v>1</v>
      </c>
    </row>
    <row r="3" spans="1:16" ht="105" x14ac:dyDescent="0.25">
      <c r="A3" t="s">
        <v>13</v>
      </c>
      <c r="B3" t="s">
        <v>12</v>
      </c>
      <c r="C3" t="s">
        <v>40</v>
      </c>
      <c r="D3" t="s">
        <v>41</v>
      </c>
      <c r="E3" t="s">
        <v>3</v>
      </c>
      <c r="F3" t="s">
        <v>2</v>
      </c>
      <c r="G3" t="s">
        <v>42</v>
      </c>
      <c r="H3" s="2" t="s">
        <v>156</v>
      </c>
      <c r="I3" s="3">
        <v>45492</v>
      </c>
      <c r="J3" s="3">
        <v>45505</v>
      </c>
      <c r="K3" s="1">
        <v>3.3333333333333335E-3</v>
      </c>
      <c r="L3" s="1">
        <v>0.01</v>
      </c>
      <c r="M3" s="1">
        <v>0</v>
      </c>
      <c r="N3" s="1">
        <v>0</v>
      </c>
    </row>
  </sheetData>
  <dataValidations count="1">
    <dataValidation type="list" allowBlank="1" showInputMessage="1" showErrorMessage="1" sqref="E2" xr:uid="{36897914-E635-44A8-9A0B-3D445C5DF8E8}">
      <formula1>$P$2:$P$4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D79D-BD60-4D4A-8AD6-E3757748D906}">
  <sheetPr codeName="Sheet15"/>
  <dimension ref="A1:O5"/>
  <sheetViews>
    <sheetView workbookViewId="0">
      <selection activeCell="G2" sqref="G2:H2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5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5" ht="120" x14ac:dyDescent="0.25">
      <c r="A2" t="s">
        <v>59</v>
      </c>
      <c r="B2" t="s">
        <v>60</v>
      </c>
      <c r="C2">
        <v>56</v>
      </c>
      <c r="D2" t="s">
        <v>61</v>
      </c>
      <c r="E2" t="s">
        <v>65</v>
      </c>
      <c r="G2" t="s">
        <v>62</v>
      </c>
      <c r="H2" s="2" t="s">
        <v>63</v>
      </c>
      <c r="I2" s="3">
        <v>45545</v>
      </c>
      <c r="J2" s="3">
        <v>45558</v>
      </c>
      <c r="K2" s="1">
        <f>AVERAGE(L2:N2)</f>
        <v>1</v>
      </c>
      <c r="L2" s="1">
        <v>1</v>
      </c>
      <c r="M2" s="1">
        <v>1</v>
      </c>
      <c r="N2" s="1">
        <v>1</v>
      </c>
    </row>
    <row r="3" spans="1:15" ht="120" x14ac:dyDescent="0.25">
      <c r="A3" t="s">
        <v>138</v>
      </c>
      <c r="B3" t="s">
        <v>139</v>
      </c>
      <c r="C3">
        <v>34</v>
      </c>
      <c r="G3" t="s">
        <v>140</v>
      </c>
      <c r="H3" s="2" t="s">
        <v>141</v>
      </c>
    </row>
    <row r="4" spans="1:15" ht="180" x14ac:dyDescent="0.25">
      <c r="A4" t="s">
        <v>165</v>
      </c>
      <c r="G4" t="s">
        <v>166</v>
      </c>
      <c r="H4" s="2" t="s">
        <v>167</v>
      </c>
    </row>
    <row r="5" spans="1:15" ht="120" x14ac:dyDescent="0.25">
      <c r="A5" s="12" t="s">
        <v>217</v>
      </c>
      <c r="B5" s="12" t="s">
        <v>218</v>
      </c>
      <c r="C5" s="12">
        <v>71</v>
      </c>
      <c r="D5" s="12" t="s">
        <v>219</v>
      </c>
      <c r="E5" s="12" t="s">
        <v>3</v>
      </c>
      <c r="G5" s="12" t="s">
        <v>221</v>
      </c>
      <c r="H5" s="15" t="s">
        <v>220</v>
      </c>
      <c r="I5" s="3">
        <v>45782</v>
      </c>
      <c r="J5" s="3"/>
      <c r="K5" s="16">
        <f t="shared" ref="K5" si="0">AVERAGE(L5:N5)</f>
        <v>3.3333333333333335E-3</v>
      </c>
      <c r="L5" s="16">
        <v>0.01</v>
      </c>
      <c r="M5" s="16">
        <v>0</v>
      </c>
      <c r="N5" s="16">
        <v>0</v>
      </c>
      <c r="O5" s="1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029D-6D5E-459C-A92C-7042D806AB00}">
  <sheetPr codeName="Sheet16"/>
  <dimension ref="A1:N4"/>
  <sheetViews>
    <sheetView workbookViewId="0">
      <selection activeCell="G3" sqref="G3:H3"/>
    </sheetView>
  </sheetViews>
  <sheetFormatPr defaultRowHeight="15" x14ac:dyDescent="0.25"/>
  <cols>
    <col min="1" max="1" width="17.42578125" bestFit="1" customWidth="1"/>
    <col min="3" max="3" width="20.5703125" bestFit="1" customWidth="1"/>
    <col min="4" max="4" width="23.85546875" bestFit="1" customWidth="1"/>
    <col min="5" max="5" width="12.85546875" bestFit="1" customWidth="1"/>
    <col min="6" max="6" width="25.7109375" bestFit="1" customWidth="1"/>
    <col min="8" max="8" width="15" bestFit="1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</cols>
  <sheetData>
    <row r="1" spans="1:14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4" ht="120" x14ac:dyDescent="0.25">
      <c r="A2" t="s">
        <v>91</v>
      </c>
      <c r="B2" t="s">
        <v>92</v>
      </c>
      <c r="C2" t="s">
        <v>93</v>
      </c>
      <c r="D2" t="s">
        <v>94</v>
      </c>
      <c r="E2" t="s">
        <v>3</v>
      </c>
      <c r="G2" t="s">
        <v>95</v>
      </c>
      <c r="H2" s="2" t="s">
        <v>96</v>
      </c>
      <c r="I2" s="3">
        <v>45576</v>
      </c>
      <c r="J2" s="3"/>
      <c r="K2" s="1">
        <v>3.3333333333333335E-3</v>
      </c>
      <c r="L2" s="1">
        <v>0.01</v>
      </c>
      <c r="M2" s="1">
        <v>0</v>
      </c>
      <c r="N2" s="1">
        <v>0</v>
      </c>
    </row>
    <row r="3" spans="1:14" ht="105" x14ac:dyDescent="0.25">
      <c r="A3" t="s">
        <v>169</v>
      </c>
      <c r="G3" t="s">
        <v>170</v>
      </c>
      <c r="H3" s="2" t="s">
        <v>171</v>
      </c>
    </row>
    <row r="4" spans="1:14" ht="75" x14ac:dyDescent="0.25">
      <c r="A4" t="s">
        <v>205</v>
      </c>
      <c r="G4" s="20" t="s">
        <v>206</v>
      </c>
      <c r="H4" s="21" t="s">
        <v>207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6930-6F6E-4A5D-8E5F-ACD2E1265259}">
  <sheetPr codeName="Sheet17"/>
  <dimension ref="A1:N3"/>
  <sheetViews>
    <sheetView workbookViewId="0">
      <selection activeCell="G3" sqref="G3:H3"/>
    </sheetView>
  </sheetViews>
  <sheetFormatPr defaultRowHeight="15" x14ac:dyDescent="0.25"/>
  <cols>
    <col min="1" max="1" width="15.5703125" bestFit="1" customWidth="1"/>
    <col min="2" max="2" width="10.140625" bestFit="1" customWidth="1"/>
    <col min="3" max="3" width="9.28515625" bestFit="1" customWidth="1"/>
    <col min="4" max="4" width="27.140625" bestFit="1" customWidth="1"/>
    <col min="5" max="5" width="12.85546875" bestFit="1" customWidth="1"/>
    <col min="6" max="6" width="6.28515625" bestFit="1" customWidth="1"/>
    <col min="7" max="7" width="9.85546875" bestFit="1" customWidth="1"/>
    <col min="8" max="8" width="48.7109375" customWidth="1"/>
    <col min="9" max="9" width="10.7109375" bestFit="1" customWidth="1"/>
    <col min="10" max="10" width="22.7109375" bestFit="1" customWidth="1"/>
    <col min="11" max="11" width="14.7109375" bestFit="1" customWidth="1"/>
    <col min="12" max="12" width="10.7109375" bestFit="1" customWidth="1"/>
    <col min="13" max="13" width="4.42578125" bestFit="1" customWidth="1"/>
    <col min="14" max="14" width="8.5703125" bestFit="1" customWidth="1"/>
  </cols>
  <sheetData>
    <row r="1" spans="1:14" x14ac:dyDescent="0.25">
      <c r="A1" t="s">
        <v>36</v>
      </c>
      <c r="B1" t="s">
        <v>35</v>
      </c>
      <c r="C1" t="s">
        <v>34</v>
      </c>
      <c r="D1" t="s">
        <v>33</v>
      </c>
      <c r="E1" t="s">
        <v>32</v>
      </c>
      <c r="F1" s="5" t="s">
        <v>31</v>
      </c>
      <c r="G1" t="s">
        <v>30</v>
      </c>
      <c r="H1" t="s">
        <v>29</v>
      </c>
      <c r="I1" s="3" t="s">
        <v>28</v>
      </c>
      <c r="J1" t="s">
        <v>27</v>
      </c>
      <c r="K1" t="s">
        <v>26</v>
      </c>
      <c r="L1" t="s">
        <v>25</v>
      </c>
      <c r="M1" t="s">
        <v>24</v>
      </c>
      <c r="N1" t="s">
        <v>23</v>
      </c>
    </row>
    <row r="2" spans="1:14" ht="75" x14ac:dyDescent="0.25">
      <c r="A2" t="s">
        <v>159</v>
      </c>
      <c r="B2" t="s">
        <v>163</v>
      </c>
      <c r="C2" t="s">
        <v>160</v>
      </c>
      <c r="D2" t="s">
        <v>161</v>
      </c>
      <c r="E2" t="s">
        <v>3</v>
      </c>
      <c r="G2" t="s">
        <v>162</v>
      </c>
      <c r="H2" s="2" t="s">
        <v>164</v>
      </c>
      <c r="I2" s="3">
        <v>45702</v>
      </c>
      <c r="J2" s="3"/>
      <c r="K2" s="1">
        <v>3.3333333333333335E-3</v>
      </c>
      <c r="L2" s="1">
        <v>0.01</v>
      </c>
      <c r="M2" s="1">
        <v>0</v>
      </c>
      <c r="N2" s="1">
        <v>0</v>
      </c>
    </row>
    <row r="3" spans="1:14" ht="75" x14ac:dyDescent="0.25">
      <c r="G3" s="18" t="s">
        <v>239</v>
      </c>
      <c r="H3" s="2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CRM_main</vt:lpstr>
      <vt:lpstr>VRP</vt:lpstr>
      <vt:lpstr>Aurora</vt:lpstr>
      <vt:lpstr>Roytec</vt:lpstr>
      <vt:lpstr>FC Direct</vt:lpstr>
      <vt:lpstr>Tanner Homes</vt:lpstr>
      <vt:lpstr>Craft Interior Limited</vt:lpstr>
      <vt:lpstr>Fleetwood</vt:lpstr>
      <vt:lpstr>Roswick</vt:lpstr>
      <vt:lpstr>RDE</vt:lpstr>
      <vt:lpstr>Marco</vt:lpstr>
      <vt:lpstr>Bifold Door</vt:lpstr>
      <vt:lpstr>Kladworx</vt:lpstr>
      <vt:lpstr>Raw</vt:lpstr>
      <vt:lpstr>Eurowindows</vt:lpstr>
      <vt:lpstr>Awesome Construction</vt:lpstr>
      <vt:lpstr>FCS</vt:lpstr>
      <vt:lpstr>AJE</vt:lpstr>
      <vt:lpstr>Rusgold</vt:lpstr>
      <vt:lpstr>MBP Facades</vt:lpstr>
      <vt:lpstr>QUBA</vt:lpstr>
      <vt:lpstr>EK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Rytelewski</dc:creator>
  <cp:lastModifiedBy>Adrian Rytelewski</cp:lastModifiedBy>
  <dcterms:created xsi:type="dcterms:W3CDTF">2015-06-05T18:19:34Z</dcterms:created>
  <dcterms:modified xsi:type="dcterms:W3CDTF">2026-01-30T09:55:31Z</dcterms:modified>
</cp:coreProperties>
</file>