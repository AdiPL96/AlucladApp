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yte\PycharmProjects\AlucladApp\"/>
    </mc:Choice>
  </mc:AlternateContent>
  <xr:revisionPtr revIDLastSave="0" documentId="13_ncr:1_{C433A25D-CB6D-4C09-9606-256ACEC2DF0B}" xr6:coauthVersionLast="47" xr6:coauthVersionMax="47" xr10:uidLastSave="{00000000-0000-0000-0000-000000000000}"/>
  <bookViews>
    <workbookView xWindow="-120" yWindow="-120" windowWidth="38640" windowHeight="21120" tabRatio="768" xr2:uid="{00000000-000D-0000-FFFF-FFFF00000000}"/>
  </bookViews>
  <sheets>
    <sheet name="CRM 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" i="2" l="1"/>
  <c r="K41" i="2" l="1"/>
  <c r="K40" i="2"/>
  <c r="K39" i="2" l="1"/>
  <c r="K38" i="2"/>
  <c r="K37" i="2"/>
  <c r="K36" i="2"/>
  <c r="K35" i="2"/>
  <c r="K34" i="2" l="1"/>
  <c r="K33" i="2"/>
  <c r="K32" i="2"/>
  <c r="K31" i="2"/>
  <c r="K30" i="2"/>
  <c r="K29" i="2"/>
  <c r="K28" i="2"/>
  <c r="K27" i="2" l="1"/>
  <c r="K26" i="2"/>
  <c r="K25" i="2"/>
  <c r="K24" i="2"/>
  <c r="K23" i="2"/>
  <c r="K22" i="2"/>
  <c r="K21" i="2"/>
  <c r="K20" i="2"/>
  <c r="K19" i="2" l="1"/>
  <c r="K18" i="2" l="1"/>
  <c r="K17" i="2"/>
  <c r="K16" i="2" l="1"/>
  <c r="K15" i="2"/>
  <c r="K14" i="2"/>
  <c r="K13" i="2" l="1"/>
  <c r="K12" i="2"/>
  <c r="K11" i="2"/>
  <c r="K10" i="2"/>
  <c r="K9" i="2" l="1"/>
  <c r="K8" i="2"/>
  <c r="K7" i="2"/>
  <c r="K6" i="2" l="1"/>
  <c r="K5" i="2"/>
  <c r="K4" i="2" l="1"/>
  <c r="K3" i="2" l="1"/>
  <c r="K12" i="3" l="1"/>
  <c r="K2" i="2" l="1"/>
  <c r="K1" i="24" l="1"/>
  <c r="K1" i="23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<sst xmlns="http://schemas.openxmlformats.org/spreadsheetml/2006/main" count="706" uniqueCount="431">
  <si>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</si>
  <si>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</si>
  <si>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</si>
  <si>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</si>
  <si>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</si>
  <si>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</si>
  <si>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</si>
  <si>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</si>
  <si>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</si>
  <si>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</si>
  <si>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</si>
  <si>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</si>
  <si>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</si>
  <si>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</si>
  <si>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</si>
  <si>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</si>
  <si>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</si>
  <si>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</si>
  <si>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</si>
  <si>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</si>
  <si>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</si>
  <si>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</si>
  <si>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</si>
  <si>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</si>
  <si>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</si>
  <si>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</si>
  <si>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</si>
  <si>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</si>
  <si>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</si>
  <si>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</si>
  <si>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</si>
  <si>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</si>
  <si>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</si>
  <si>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</si>
  <si>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</si>
  <si>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</si>
  <si>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</si>
  <si>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</si>
  <si>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</si>
  <si>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</si>
  <si>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</si>
  <si>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</si>
  <si>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</si>
  <si>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</si>
  <si>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</si>
  <si>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</si>
  <si>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</si>
  <si>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</si>
  <si>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</si>
  <si>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</si>
  <si>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</si>
  <si>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</si>
  <si>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</si>
  <si>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</si>
  <si>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</si>
  <si>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</si>
  <si>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</si>
  <si>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</si>
  <si>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</si>
  <si>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</si>
  <si>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</si>
  <si>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</si>
  <si>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</si>
  <si>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</si>
  <si>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</si>
  <si>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</si>
  <si>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</si>
  <si>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</si>
  <si>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</si>
  <si>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</si>
  <si>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</si>
  <si>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</si>
  <si>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</si>
  <si>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</si>
  <si>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</si>
  <si>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</si>
  <si>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</si>
  <si>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</si>
  <si>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</si>
  <si>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</si>
  <si>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</si>
  <si>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</si>
  <si>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</si>
  <si>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</si>
  <si>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</si>
  <si>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</si>
  <si>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</si>
  <si>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</si>
  <si>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</si>
  <si>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</si>
  <si>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</si>
  <si>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</si>
  <si>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</si>
  <si>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</si>
  <si>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</si>
  <si>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</si>
  <si>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</si>
  <si>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</si>
  <si>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</si>
  <si>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</si>
  <si>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</si>
  <si>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</si>
  <si>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</si>
  <si>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</si>
  <si>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</si>
  <si>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</si>
  <si>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</si>
  <si>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</si>
  <si>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</si>
  <si>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</si>
  <si>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</si>
  <si>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</si>
  <si>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</si>
  <si>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</si>
  <si>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</si>
  <si>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</si>
  <si>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</si>
  <si>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</si>
  <si>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</si>
  <si>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</si>
  <si>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</si>
  <si>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</si>
  <si>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</si>
  <si>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</si>
  <si>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</si>
  <si>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</si>
  <si>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</si>
  <si>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</si>
  <si>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</si>
  <si>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</si>
  <si>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</si>
  <si>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</si>
  <si>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</si>
  <si>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</si>
  <si>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</si>
  <si>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</si>
  <si>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</si>
  <si>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</si>
  <si>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</si>
  <si>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</si>
  <si>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</si>
  <si>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</si>
  <si>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</si>
  <si>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</si>
  <si>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</si>
  <si>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</si>
  <si>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</si>
  <si>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</si>
  <si>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</si>
  <si>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</si>
  <si>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</si>
  <si>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</si>
  <si>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</si>
  <si>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</si>
  <si>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</si>
  <si>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</si>
  <si>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</si>
  <si>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</si>
  <si>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</si>
  <si>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</si>
  <si>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</si>
  <si>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</si>
  <si>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</si>
  <si>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</si>
  <si>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</si>
  <si>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</si>
  <si>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</si>
  <si>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</si>
  <si>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</si>
  <si>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</si>
  <si>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</si>
  <si>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</si>
  <si>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</si>
  <si>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</si>
  <si>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</si>
  <si>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</si>
  <si>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</si>
  <si>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</si>
  <si>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</si>
  <si>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</si>
  <si>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</si>
  <si>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</si>
  <si>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</si>
  <si>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</si>
  <si>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</si>
  <si>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</si>
  <si>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</si>
  <si>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</si>
  <si>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</si>
  <si>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</si>
  <si>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</si>
  <si>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</si>
  <si>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</si>
  <si>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</si>
  <si>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</si>
  <si>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</si>
  <si>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</si>
  <si>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</si>
  <si>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</si>
  <si>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</si>
  <si>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</si>
  <si>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</si>
  <si>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</si>
  <si>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</si>
  <si>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</si>
  <si>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</si>
  <si>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</si>
  <si>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</si>
  <si>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</si>
  <si>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</si>
  <si>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</si>
  <si>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</si>
  <si>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</si>
  <si>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</si>
  <si>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</si>
  <si>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</si>
  <si>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</si>
  <si>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</si>
  <si>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</si>
  <si>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</si>
  <si>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</si>
  <si>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</si>
  <si>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</si>
  <si>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</si>
  <si>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</si>
  <si>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</si>
  <si>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</si>
  <si>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</si>
  <si>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</si>
  <si>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</si>
  <si>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</si>
  <si>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</si>
  <si>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</si>
  <si>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</si>
  <si>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</si>
  <si>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</si>
  <si>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</si>
  <si>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</si>
  <si>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</si>
  <si>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</si>
  <si>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</si>
  <si>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</si>
  <si>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</si>
  <si>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</si>
  <si>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</si>
  <si>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</si>
  <si>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</si>
  <si>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</si>
  <si>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</si>
  <si>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</si>
  <si>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</si>
  <si>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</si>
  <si>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</si>
  <si>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</si>
  <si>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</si>
  <si>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CGY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</si>
  <si>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</si>
  <si>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</si>
  <si>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</si>
  <si>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</si>
  <si>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</si>
  <si>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</si>
  <si>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</si>
  <si>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</si>
  <si>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</si>
  <si>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</si>
  <si>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</si>
  <si>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Critical Information</t>
  </si>
  <si>
    <t>Broadway Central 2</t>
  </si>
  <si>
    <t>G2 3BW</t>
  </si>
  <si>
    <t>SO-1997</t>
  </si>
  <si>
    <t>EX CW Panels &amp; Pressings</t>
  </si>
  <si>
    <t>Assembly
CSK Hole</t>
  </si>
  <si>
    <t>Thurrock Power Limited
Thurrock Flexible Generation
Station Road
East Tilbury
RM18 8QR
Vlad 07584 078 721</t>
  </si>
  <si>
    <t>Thurrock</t>
  </si>
  <si>
    <t>SO-2002</t>
  </si>
  <si>
    <t>Panel Brackets</t>
  </si>
  <si>
    <t>RM18 8QR</t>
  </si>
  <si>
    <t xml:space="preserve"> RM18 8QR</t>
  </si>
  <si>
    <t>Thurrock Power Limited,
Thurrock Flexible Generation,
Station Road,
East Tilbury,
RM18 8QR
Vlad +44 (0) 7584 078 721</t>
  </si>
  <si>
    <t>SO-2005</t>
  </si>
  <si>
    <t>Aluworks</t>
  </si>
  <si>
    <t>PO41325-608</t>
  </si>
  <si>
    <t>Aluworks Ltd.
 Gate 2 Chester House
 Bentails
 Basildon
 SS14 3BG
Contact: Damian +44 (0)7574 403789</t>
  </si>
  <si>
    <t xml:space="preserve"> SS14 3BG</t>
  </si>
  <si>
    <t>Southbank Place</t>
  </si>
  <si>
    <t>McAleer &amp; Rushe Contracts UK Ltd
 (For FCS Facades)
 Southbank Place, Building 5
 Belvedere Road
 Southbank SE1 7AF
Tom Plago +44 (0) 7889 215 253</t>
  </si>
  <si>
    <t>SO-2009</t>
  </si>
  <si>
    <t>Panels Batch 2</t>
  </si>
  <si>
    <t>SE1 7AF</t>
  </si>
  <si>
    <t>DA10 0B</t>
  </si>
  <si>
    <t>St George Plc
,Camden Goods Yard,
Chalk Farm Road, Chalk Farm
,Camden Town,London, NW1 8EH
Contact: Arek +44 (0) 7534 515 939</t>
  </si>
  <si>
    <t>PO0209992-1</t>
  </si>
  <si>
    <t xml:space="preserve"> Tetraclad Ltd,
 EBBSFLEET GREEN,
 Site A - Ackers Drive,
 Ebbsfleet Valley,
 Kent, DA10 0BE,
Contact: Ross +44 (0) 7850 985 167</t>
  </si>
  <si>
    <t xml:space="preserve">Thurrock </t>
  </si>
  <si>
    <t xml:space="preserve">Ebbsfleet </t>
  </si>
  <si>
    <t>SO-2018</t>
  </si>
  <si>
    <t>SO-2019</t>
  </si>
  <si>
    <t>Plenums, Ducts &amp; Panels</t>
  </si>
  <si>
    <t>Panel Flashings</t>
  </si>
  <si>
    <t>Yellow Storage Brackets (Batch. 2)</t>
  </si>
  <si>
    <t>Royal Central School</t>
  </si>
  <si>
    <t>RCS003</t>
  </si>
  <si>
    <t>NW3 3HY</t>
  </si>
  <si>
    <t>FC Direct Ltd, Royal Central School of Speech and Drama, Eton Avenue, Belsize Park, London, NW3 3HY
Luis Valle - +44 (0) 7765 777 672 / Aaran Barratt - +44 (0) 7464 485 453</t>
  </si>
  <si>
    <t>Sinusoidal Panels</t>
  </si>
  <si>
    <t>SO-2022</t>
  </si>
  <si>
    <t>SO-2023</t>
  </si>
  <si>
    <t>E&amp;N GF-L1 Subframe</t>
  </si>
  <si>
    <t>Corner Panel Brackets</t>
  </si>
  <si>
    <t>McAleer &amp; Rushe Contracts UK Ltd
 (For FCS Facades)
 ,Broadway Central, PBSA,
200 Renfield Street,
 Glasgow, G2 3BW
Contact: Jakub +44 (0) 7772 728 234</t>
  </si>
  <si>
    <t>SO-2026</t>
  </si>
  <si>
    <t>SO-2024</t>
  </si>
  <si>
    <t>SO-2025</t>
  </si>
  <si>
    <t>SO-2027</t>
  </si>
  <si>
    <t>SO-2028</t>
  </si>
  <si>
    <t>Additional Panels</t>
  </si>
  <si>
    <t>Windmill Court</t>
  </si>
  <si>
    <t>SO-2029</t>
  </si>
  <si>
    <t>SO-2030</t>
  </si>
  <si>
    <t>SO-2031</t>
  </si>
  <si>
    <t>RCS004</t>
  </si>
  <si>
    <t>McAleer &amp; Rushe Contracts UK Ltd
(For FCS Facades)
Stroudley Walk
E3 3EW
Jakub - +44 (0) 7772 728 234</t>
  </si>
  <si>
    <t>CSK Holes</t>
  </si>
  <si>
    <t>SO-2032</t>
  </si>
  <si>
    <t>Kingspan Subframe</t>
  </si>
  <si>
    <t>Panels Sub-Frame</t>
  </si>
  <si>
    <t>Bifold Door Factory Ltd.
, Bingley The Common
, West Drayton, 
UB7 7HQ
Contact: Contact: Harj +44 (0) 7951 893 719</t>
  </si>
  <si>
    <t>Skin Door Panel Deenesh Khoosa</t>
  </si>
  <si>
    <t>Grooves</t>
  </si>
  <si>
    <t>PO0211782-1</t>
  </si>
  <si>
    <t>P.O.WMC003</t>
  </si>
  <si>
    <t>SO-2033</t>
  </si>
  <si>
    <t>HA4 8FG</t>
  </si>
  <si>
    <t>EK Construction Limited
Windmill Court
West Way
Ruislip
HA4 8FG
Contact: Sebastian +44 (0) 7851 334 852</t>
  </si>
  <si>
    <t>BS14 1FZ</t>
  </si>
  <si>
    <t>MPB Facades Ltd
BoKlok Housing Site Office
Airport Road 
Bristol 
BS14 1FZ
Contact: Martin +44 (0) 7725 900 420</t>
  </si>
  <si>
    <t>Additional Profiles</t>
  </si>
  <si>
    <t>Panels &amp; Vents</t>
  </si>
  <si>
    <t>Backlog of Blades</t>
  </si>
  <si>
    <t>Gutter Flashings</t>
  </si>
  <si>
    <t>L12 Copings</t>
  </si>
  <si>
    <t>SO-2035</t>
  </si>
  <si>
    <t>Corner Brackets</t>
  </si>
  <si>
    <t>SO-2036</t>
  </si>
  <si>
    <t>GF L1 Subframe (Additional Brackets + GF L1 E&amp;N Sub-Frame)</t>
  </si>
  <si>
    <t>Southbank University</t>
  </si>
  <si>
    <t>Melliss Avenue</t>
  </si>
  <si>
    <t>SO-2037</t>
  </si>
  <si>
    <t>SO-2038</t>
  </si>
  <si>
    <t>K2-007</t>
  </si>
  <si>
    <t>SE1 0AA</t>
  </si>
  <si>
    <t>TW9 4BZ</t>
  </si>
  <si>
    <t>McAleer &amp; Rushe Site
(For FCS Facades)
Mellis Avenue
Kew
TW9 4BZ
Piotr Slowiak +44 (0) 7968 773 582</t>
  </si>
  <si>
    <t>Mock Up</t>
  </si>
  <si>
    <t>London South Bank University,  
Building K2, 
103 Borough Road, 
London,  
SE1 0AA
Contact: Kane Cusens – +44 (0) 7944 431 157</t>
  </si>
  <si>
    <t>Lancelote Pl</t>
  </si>
  <si>
    <t>SO-2039</t>
  </si>
  <si>
    <t>SO-2040</t>
  </si>
  <si>
    <t>PO32-33JA</t>
  </si>
  <si>
    <t>Missing Broken Materials</t>
  </si>
  <si>
    <t>Extra Flashing</t>
  </si>
  <si>
    <t>Roytec Ltd
27 Passey Place,
London
Eltham
SE9 5DA
Oleg +44 (0) 7453 009 655
Nick +44 (0) 7447 162 592
Jurij +44 (0) 7888 504 050</t>
  </si>
  <si>
    <t>SO-2041</t>
  </si>
  <si>
    <t>L7&amp;8 Flashings</t>
  </si>
  <si>
    <t>SO-2042</t>
  </si>
  <si>
    <t>SO-2043</t>
  </si>
  <si>
    <t>E&amp;N Additional Brackets</t>
  </si>
  <si>
    <t>Mock-Up Subframe</t>
  </si>
  <si>
    <t>SO-2044</t>
  </si>
  <si>
    <t>DT521</t>
  </si>
  <si>
    <t>Template (Cill flashing &amp; Perforated Panel)</t>
  </si>
  <si>
    <t>AJE Facades 
Clarendon Road Block E3
C/O St William  , Silsoe road 
Wood Green 
 N22 6TR 
Dragos +44 (0) 7719 309 409</t>
  </si>
  <si>
    <t>Amazon SXW2</t>
  </si>
  <si>
    <t>SO-2045</t>
  </si>
  <si>
    <t>KT13 0YU</t>
  </si>
  <si>
    <t>Fascia Panels Prod. 2</t>
  </si>
  <si>
    <t>SO-2046</t>
  </si>
  <si>
    <t>Fairlie Count Flashings</t>
  </si>
  <si>
    <t xml:space="preserve">Tom Group
Ul. Spółdzielcza 4
64-111 Lipno </t>
  </si>
  <si>
    <t>CSK</t>
  </si>
  <si>
    <t xml:space="preserve">64-111 </t>
  </si>
  <si>
    <t>SO-2047</t>
  </si>
  <si>
    <t xml:space="preserve">PO00126-593-9-LD </t>
  </si>
  <si>
    <t>Dock Brackets</t>
  </si>
  <si>
    <t>Rose Court</t>
  </si>
  <si>
    <t>SO-2048</t>
  </si>
  <si>
    <t>PO00499</t>
  </si>
  <si>
    <t>HP13 7PL</t>
  </si>
  <si>
    <t>Kladworx Ltd
Rose Court
Wenlock Close
High Wycombe
Alfie Kelmendi +44 (0) 7908 701 565</t>
  </si>
  <si>
    <t>SO-2049</t>
  </si>
  <si>
    <t>SO-2050</t>
  </si>
  <si>
    <t>AJE facades 
C/O Formation 
58 Cherry orchard 
Croydon 
CR0 6BA
Dragos +44 (0) 7719 309 409</t>
  </si>
  <si>
    <t>CR0 6BA</t>
  </si>
  <si>
    <t>Additional Flashings</t>
  </si>
  <si>
    <t>Cills</t>
  </si>
  <si>
    <t>DT19</t>
  </si>
  <si>
    <t>SO-2051</t>
  </si>
  <si>
    <t>McAleer &amp; Rushe Contracts UK Ltd
(For FCS Facades)
1 Church Road
Tunbridge Wells
Kent, TN1 1PN
Kontakt: Pawel +44(0) 7590 056 393 </t>
  </si>
  <si>
    <t xml:space="preserve">EDC Facilities Ltd 
Cheshire Storage &amp; Interior Solutions Ltd 
Amazon SXW2 
Unit A100 
Brooklands Business Park 
Vickers Dr N 
Weybridge 
KT13 0YU
Site contact: Courtney 07904 316867 </t>
  </si>
  <si>
    <t>Upton Hospital CDC</t>
  </si>
  <si>
    <t>SO-2052</t>
  </si>
  <si>
    <t>SO-2053</t>
  </si>
  <si>
    <t>SO-2054</t>
  </si>
  <si>
    <t>SO-2055</t>
  </si>
  <si>
    <t>RCS012</t>
  </si>
  <si>
    <t>PO00500</t>
  </si>
  <si>
    <t>PO41325-695-BYS</t>
  </si>
  <si>
    <t>PO0214960-1</t>
  </si>
  <si>
    <t>Additional Top Hats</t>
  </si>
  <si>
    <t>Fascia &amp; Entrance</t>
  </si>
  <si>
    <t xml:space="preserve">Big Yellow Storage  Brackets </t>
  </si>
  <si>
    <t>Missing panels, replacement panels</t>
  </si>
  <si>
    <t>Northwood Garage</t>
  </si>
  <si>
    <t>SO-2056</t>
  </si>
  <si>
    <t>Imphouse Ltd
Chapel Lane
Merstone
Isle of Wight
PO30  3BZ</t>
  </si>
  <si>
    <t>PO30  3BZ</t>
  </si>
  <si>
    <t>SL1 2BJ</t>
  </si>
  <si>
    <t>Kladworx Ltd
CDCUpton Hospital
Church Street
SLough
Berkshire
SL1 2BJ
Alfie Kelmendi
+44 07908 701565</t>
  </si>
  <si>
    <t>Cassette Panels &amp; Sub-Frame</t>
  </si>
  <si>
    <t>SO-2057</t>
  </si>
  <si>
    <t>Door Spandrel Panel</t>
  </si>
  <si>
    <t>Delivered</t>
  </si>
  <si>
    <t>order_id</t>
  </si>
  <si>
    <t>status</t>
  </si>
  <si>
    <t>timestamp</t>
  </si>
  <si>
    <t>Delivery Address</t>
  </si>
  <si>
    <t>10/02/2026
08:34</t>
  </si>
  <si>
    <t>SO-2058</t>
  </si>
  <si>
    <t>Infills - Various Cladding</t>
  </si>
  <si>
    <t>11/02/2026
07:15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</si>
</sst>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7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9" fontId="6" fillId="0" borderId="0" xfId="0" applyNumberFormat="1" applyFont="1" applyAlignment="1">
      <alignment horizontal="center" vertical="center" wrapText="1"/>
    </xf>
    <xf numFmtId="0" fontId="7" fillId="0" borderId="0" xfId="0" applyFont="1"/>
    <xf numFmtId="14" fontId="6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Q42" totalsRowShown="0" headerRowDxfId="18" dataDxfId="17">
  <autoFilter ref="A1:Q42" xr:uid="{D238CE20-76DC-4853-9E42-BB88690E3CED}"/>
  <tableColumns count="17">
    <tableColumn id="1" xr3:uid="{867090DC-1FE0-4EF0-A0C0-448920317853}" name="Project" dataDxfId="16"/>
    <tableColumn id="2" xr3:uid="{ED71812C-E204-4FE0-ADEA-0CD9B3ADA2A3}" name="Project SO" dataDxfId="15"/>
    <tableColumn id="3" xr3:uid="{32502B80-458D-4EF6-9ABC-03678A6F8302}" name="order_id" dataDxfId="14"/>
    <tableColumn id="4" xr3:uid="{111DD528-EE5F-4D8B-B63F-9A842570498D}" name="Materials" dataDxfId="13"/>
    <tableColumn id="5" xr3:uid="{F88C7351-33D9-47AC-88E6-09F8FC43FCF9}" name="status" dataDxfId="12"/>
    <tableColumn id="6" xr3:uid="{AF541036-9D61-4BFA-9B88-B69C899AAAFF}" name="Phase" dataDxfId="11"/>
    <tableColumn id="7" xr3:uid="{3C9800BD-A315-48D1-9DB1-AF15B6CE2464}" name="Post Code" dataDxfId="10"/>
    <tableColumn id="8" xr3:uid="{35381005-95B2-4E9D-9D09-3585A5DE3E35}" name="Delivery Address" dataDxfId="9"/>
    <tableColumn id="9" xr3:uid="{21A0DBD3-20BC-48FA-8FF6-DB3AFE9382A5}" name="PO Date" dataDxfId="8"/>
    <tableColumn id="10" xr3:uid="{3F0B7287-A10E-4CE5-9A48-B72BC577D0D0}" name="Estimated Delivery Date" dataDxfId="7"/>
    <tableColumn id="11" xr3:uid="{D53CD43D-3F51-4446-BA3F-C95DF42223C1}" name="Current Update" dataDxfId="6">
      <calculatedColumnFormula>AVERAGE(L2:N2)</calculatedColumnFormula>
    </tableColumn>
    <tableColumn id="12" xr3:uid="{6527AB69-9477-41B6-8941-2FE273E12275}" name="Production" dataDxfId="5"/>
    <tableColumn id="13" xr3:uid="{6436B5E8-E98E-47E2-B70D-DD9AA467C3A5}" name="PPC" dataDxfId="4"/>
    <tableColumn id="14" xr3:uid="{D893399C-2909-4B8A-9538-32D22CFA1B25}" name="Dispatch" dataDxfId="3"/>
    <tableColumn id="15" xr3:uid="{F6302424-51FB-45BD-9F34-61C700C8D161}" name="Welded" dataDxfId="2"/>
    <tableColumn id="16" xr3:uid="{9BE99484-0D9D-4749-B30B-7C533699CF52}" name="Critical Information" dataDxfId="1"/>
    <tableColumn id="17" xr3:uid="{294DD3E6-5EEC-42DD-AE99-1AC9AB8E1DEE}" name="timestam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Q42"/>
  <sheetViews>
    <sheetView tabSelected="1" zoomScale="85" zoomScaleNormal="85" workbookViewId="0">
      <pane ySplit="1" topLeftCell="A11" activePane="bottomLeft" state="frozen"/>
      <selection pane="bottomLeft" activeCell="Q13" sqref="Q1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  <col min="17" max="17" width="15.5703125" bestFit="1" customWidth="1"/>
  </cols>
  <sheetData>
    <row r="1" spans="1:17" s="12" customFormat="1" x14ac:dyDescent="0.25">
      <c r="A1" s="12" t="s">
        <v>36</v>
      </c>
      <c r="B1" s="12" t="s">
        <v>35</v>
      </c>
      <c r="C1" s="12" t="s">
        <v>423</v>
      </c>
      <c r="D1" s="12" t="s">
        <v>33</v>
      </c>
      <c r="E1" s="12" t="s">
        <v>424</v>
      </c>
      <c r="F1" s="13" t="s">
        <v>31</v>
      </c>
      <c r="G1" s="12" t="s">
        <v>30</v>
      </c>
      <c r="H1" s="12" t="s">
        <v>426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267</v>
      </c>
      <c r="Q1" s="12" t="s">
        <v>425</v>
      </c>
    </row>
    <row r="2" spans="1:17" ht="75" x14ac:dyDescent="0.25">
      <c r="A2" s="12" t="s">
        <v>255</v>
      </c>
      <c r="B2" s="12" t="s">
        <v>270</v>
      </c>
      <c r="C2" s="15">
        <v>2517</v>
      </c>
      <c r="D2" s="12" t="s">
        <v>271</v>
      </c>
      <c r="E2" s="12" t="s">
        <v>3</v>
      </c>
      <c r="F2" s="12"/>
      <c r="G2" s="12" t="s">
        <v>155</v>
      </c>
      <c r="H2" s="24" t="s">
        <v>291</v>
      </c>
      <c r="I2" s="14">
        <v>45987</v>
      </c>
      <c r="J2" s="14"/>
      <c r="K2" s="23">
        <f t="shared" ref="K2" si="0">AVERAGE(L2:N2)</f>
        <v>3.3333333333333335E-3</v>
      </c>
      <c r="L2" s="23">
        <v>0.01</v>
      </c>
      <c r="M2" s="23">
        <v>0</v>
      </c>
      <c r="N2" s="23">
        <v>0</v>
      </c>
      <c r="O2" s="12" t="s">
        <v>188</v>
      </c>
      <c r="P2" s="34" t="s">
        <v>272</v>
      </c>
      <c r="Q2" s="16"/>
    </row>
    <row r="3" spans="1:17" ht="90" x14ac:dyDescent="0.25">
      <c r="A3" s="12" t="s">
        <v>281</v>
      </c>
      <c r="B3" s="12" t="s">
        <v>280</v>
      </c>
      <c r="C3" s="15" t="s">
        <v>282</v>
      </c>
      <c r="D3" s="12" t="s">
        <v>300</v>
      </c>
      <c r="E3" s="12" t="s">
        <v>3</v>
      </c>
      <c r="F3" s="12"/>
      <c r="G3" s="12" t="s">
        <v>284</v>
      </c>
      <c r="H3" s="24" t="s">
        <v>283</v>
      </c>
      <c r="I3" s="14">
        <v>45995</v>
      </c>
      <c r="J3" s="14"/>
      <c r="K3" s="23">
        <f t="shared" ref="K3" si="1">AVERAGE(L3:N3)</f>
        <v>3.3333333333333335E-3</v>
      </c>
      <c r="L3" s="23">
        <v>0.01</v>
      </c>
      <c r="M3" s="23">
        <v>0</v>
      </c>
      <c r="N3" s="23">
        <v>0</v>
      </c>
      <c r="O3" s="12" t="s">
        <v>188</v>
      </c>
      <c r="P3" s="16"/>
      <c r="Q3" s="16"/>
    </row>
    <row r="4" spans="1:17" ht="90" x14ac:dyDescent="0.25">
      <c r="A4" s="12" t="s">
        <v>264</v>
      </c>
      <c r="B4" s="12" t="s">
        <v>287</v>
      </c>
      <c r="C4" s="15" t="s">
        <v>292</v>
      </c>
      <c r="D4" s="12" t="s">
        <v>288</v>
      </c>
      <c r="E4" s="20" t="s">
        <v>3</v>
      </c>
      <c r="F4" s="12"/>
      <c r="G4" s="12" t="s">
        <v>290</v>
      </c>
      <c r="H4" s="24" t="s">
        <v>293</v>
      </c>
      <c r="I4" s="14">
        <v>46000</v>
      </c>
      <c r="J4" s="14"/>
      <c r="K4" s="32">
        <f t="shared" ref="K4" si="2">AVERAGE(L4:N4)</f>
        <v>3.3333333333333335E-3</v>
      </c>
      <c r="L4" s="32">
        <v>0.01</v>
      </c>
      <c r="M4" s="32">
        <v>0</v>
      </c>
      <c r="N4" s="32">
        <v>0</v>
      </c>
      <c r="P4" s="16"/>
      <c r="Q4" s="16"/>
    </row>
    <row r="5" spans="1:17" ht="75" x14ac:dyDescent="0.25">
      <c r="A5" s="12" t="s">
        <v>255</v>
      </c>
      <c r="B5" s="12" t="s">
        <v>296</v>
      </c>
      <c r="C5" s="15">
        <v>2622</v>
      </c>
      <c r="D5" s="12" t="s">
        <v>298</v>
      </c>
      <c r="E5" s="20" t="s">
        <v>3</v>
      </c>
      <c r="F5" s="12"/>
      <c r="G5" s="12" t="s">
        <v>155</v>
      </c>
      <c r="H5" s="24" t="s">
        <v>291</v>
      </c>
      <c r="I5" s="14">
        <v>46009</v>
      </c>
      <c r="J5" s="14"/>
      <c r="K5" s="32">
        <f t="shared" ref="K5:K6" si="3">AVERAGE(L5:N5)</f>
        <v>3.3333333333333335E-3</v>
      </c>
      <c r="L5" s="32">
        <v>0.01</v>
      </c>
      <c r="M5" s="32">
        <v>0</v>
      </c>
      <c r="N5" s="32">
        <v>0</v>
      </c>
      <c r="O5" s="12" t="s">
        <v>188</v>
      </c>
      <c r="P5" s="16"/>
      <c r="Q5" s="16"/>
    </row>
    <row r="6" spans="1:17" ht="90" x14ac:dyDescent="0.25">
      <c r="A6" s="12" t="s">
        <v>294</v>
      </c>
      <c r="B6" s="12" t="s">
        <v>297</v>
      </c>
      <c r="C6" s="15">
        <v>2633</v>
      </c>
      <c r="D6" s="12" t="s">
        <v>299</v>
      </c>
      <c r="E6" s="20" t="s">
        <v>3</v>
      </c>
      <c r="F6" s="12"/>
      <c r="G6" s="12" t="s">
        <v>278</v>
      </c>
      <c r="H6" s="24" t="s">
        <v>279</v>
      </c>
      <c r="I6" s="14">
        <v>46013</v>
      </c>
      <c r="J6" s="14"/>
      <c r="K6" s="32">
        <f t="shared" si="3"/>
        <v>3.3333333333333335E-3</v>
      </c>
      <c r="L6" s="32">
        <v>0.01</v>
      </c>
      <c r="M6" s="32">
        <v>0</v>
      </c>
      <c r="N6" s="32">
        <v>0</v>
      </c>
      <c r="P6" s="16"/>
      <c r="Q6" s="16"/>
    </row>
    <row r="7" spans="1:17" ht="75" x14ac:dyDescent="0.25">
      <c r="A7" s="12" t="s">
        <v>301</v>
      </c>
      <c r="B7" s="12" t="s">
        <v>311</v>
      </c>
      <c r="C7" s="15" t="s">
        <v>302</v>
      </c>
      <c r="D7" s="12" t="s">
        <v>305</v>
      </c>
      <c r="E7" s="20" t="s">
        <v>3</v>
      </c>
      <c r="F7" s="12"/>
      <c r="G7" s="12" t="s">
        <v>303</v>
      </c>
      <c r="H7" s="24" t="s">
        <v>304</v>
      </c>
      <c r="I7" s="14">
        <v>46030</v>
      </c>
      <c r="J7" s="14"/>
      <c r="K7" s="32">
        <f t="shared" ref="K7" si="4">AVERAGE(L7:N7)</f>
        <v>3.3333333333333335E-3</v>
      </c>
      <c r="L7" s="32">
        <v>0.01</v>
      </c>
      <c r="M7" s="32">
        <v>0</v>
      </c>
      <c r="N7" s="32">
        <v>0</v>
      </c>
      <c r="P7" s="16"/>
      <c r="Q7" s="16"/>
    </row>
    <row r="8" spans="1:17" ht="90" x14ac:dyDescent="0.25">
      <c r="A8" s="12" t="s">
        <v>268</v>
      </c>
      <c r="B8" s="12" t="s">
        <v>306</v>
      </c>
      <c r="C8" s="15">
        <v>2661</v>
      </c>
      <c r="D8" s="12" t="s">
        <v>308</v>
      </c>
      <c r="E8" s="20" t="s">
        <v>3</v>
      </c>
      <c r="F8" s="12"/>
      <c r="G8" s="12" t="s">
        <v>269</v>
      </c>
      <c r="H8" s="24" t="s">
        <v>310</v>
      </c>
      <c r="I8" s="14">
        <v>46030</v>
      </c>
      <c r="J8" s="14"/>
      <c r="K8" s="32">
        <f t="shared" ref="K8:K9" si="5">AVERAGE(L8:N8)</f>
        <v>3.3333333333333335E-3</v>
      </c>
      <c r="L8" s="32">
        <v>0.01</v>
      </c>
      <c r="M8" s="32">
        <v>0</v>
      </c>
      <c r="N8" s="32">
        <v>0</v>
      </c>
      <c r="O8" s="12" t="s">
        <v>188</v>
      </c>
      <c r="P8" s="16"/>
      <c r="Q8" s="16"/>
    </row>
    <row r="9" spans="1:17" ht="90" x14ac:dyDescent="0.25">
      <c r="A9" s="12" t="s">
        <v>268</v>
      </c>
      <c r="B9" s="12" t="s">
        <v>307</v>
      </c>
      <c r="C9" s="15">
        <v>2662</v>
      </c>
      <c r="D9" s="12" t="s">
        <v>309</v>
      </c>
      <c r="E9" s="20" t="s">
        <v>3</v>
      </c>
      <c r="F9" s="12"/>
      <c r="G9" s="12" t="s">
        <v>269</v>
      </c>
      <c r="H9" s="24" t="s">
        <v>310</v>
      </c>
      <c r="I9" s="14">
        <v>46030</v>
      </c>
      <c r="J9" s="14"/>
      <c r="K9" s="32">
        <f t="shared" si="5"/>
        <v>3.3333333333333335E-3</v>
      </c>
      <c r="L9" s="32">
        <v>0.01</v>
      </c>
      <c r="M9" s="32">
        <v>0</v>
      </c>
      <c r="N9" s="32">
        <v>0</v>
      </c>
      <c r="O9" s="12" t="s">
        <v>188</v>
      </c>
      <c r="P9" s="16"/>
      <c r="Q9" s="16"/>
    </row>
    <row r="10" spans="1:17" ht="75" x14ac:dyDescent="0.25">
      <c r="A10" s="12" t="s">
        <v>51</v>
      </c>
      <c r="B10" s="12" t="s">
        <v>312</v>
      </c>
      <c r="C10" s="15">
        <v>2671</v>
      </c>
      <c r="D10" s="12" t="s">
        <v>316</v>
      </c>
      <c r="E10" s="20" t="s">
        <v>3</v>
      </c>
      <c r="F10" s="12"/>
      <c r="G10" s="12" t="s">
        <v>53</v>
      </c>
      <c r="H10" s="24" t="s">
        <v>322</v>
      </c>
      <c r="I10" s="14">
        <v>46031</v>
      </c>
      <c r="J10" s="14"/>
      <c r="K10" s="32">
        <f t="shared" ref="K10:K13" si="6">AVERAGE(L10:N10)</f>
        <v>3.3333333333333335E-3</v>
      </c>
      <c r="L10" s="32">
        <v>0.01</v>
      </c>
      <c r="M10" s="32">
        <v>0</v>
      </c>
      <c r="N10" s="32">
        <v>0</v>
      </c>
      <c r="O10" s="12" t="s">
        <v>188</v>
      </c>
      <c r="P10" s="16" t="s">
        <v>323</v>
      </c>
      <c r="Q10" s="16"/>
    </row>
    <row r="11" spans="1:17" ht="90" x14ac:dyDescent="0.25">
      <c r="A11" s="12" t="s">
        <v>268</v>
      </c>
      <c r="B11" s="12" t="s">
        <v>313</v>
      </c>
      <c r="C11" s="15">
        <v>2672</v>
      </c>
      <c r="D11" s="12" t="s">
        <v>325</v>
      </c>
      <c r="E11" s="20" t="s">
        <v>3</v>
      </c>
      <c r="F11" s="12"/>
      <c r="G11" s="12" t="s">
        <v>269</v>
      </c>
      <c r="H11" s="24" t="s">
        <v>310</v>
      </c>
      <c r="I11" s="14">
        <v>46031</v>
      </c>
      <c r="J11" s="14"/>
      <c r="K11" s="32">
        <f t="shared" si="6"/>
        <v>3.3333333333333335E-3</v>
      </c>
      <c r="L11" s="32">
        <v>0.01</v>
      </c>
      <c r="M11" s="32">
        <v>0</v>
      </c>
      <c r="N11" s="32">
        <v>0</v>
      </c>
      <c r="P11" s="16"/>
      <c r="Q11" s="16"/>
    </row>
    <row r="12" spans="1:17" ht="75" x14ac:dyDescent="0.25">
      <c r="A12" s="12" t="s">
        <v>301</v>
      </c>
      <c r="B12" s="12" t="s">
        <v>314</v>
      </c>
      <c r="C12" s="15" t="s">
        <v>321</v>
      </c>
      <c r="D12" s="12" t="s">
        <v>326</v>
      </c>
      <c r="E12" s="20" t="s">
        <v>3</v>
      </c>
      <c r="F12" s="12"/>
      <c r="G12" s="12" t="s">
        <v>303</v>
      </c>
      <c r="H12" s="24" t="s">
        <v>304</v>
      </c>
      <c r="I12" s="14">
        <v>46030</v>
      </c>
      <c r="J12" s="14"/>
      <c r="K12" s="32">
        <f t="shared" si="6"/>
        <v>3.3333333333333335E-3</v>
      </c>
      <c r="L12" s="32">
        <v>0.01</v>
      </c>
      <c r="M12" s="32">
        <v>0</v>
      </c>
      <c r="N12" s="32">
        <v>0</v>
      </c>
      <c r="P12" s="16"/>
      <c r="Q12" s="16"/>
    </row>
    <row r="13" spans="1:17" ht="90" x14ac:dyDescent="0.25">
      <c r="A13" s="12" t="s">
        <v>97</v>
      </c>
      <c r="B13" s="12" t="s">
        <v>315</v>
      </c>
      <c r="C13" s="15">
        <v>1711019</v>
      </c>
      <c r="D13" s="12" t="s">
        <v>328</v>
      </c>
      <c r="E13" s="20" t="s">
        <v>65</v>
      </c>
      <c r="F13" s="12"/>
      <c r="G13" s="12" t="s">
        <v>98</v>
      </c>
      <c r="H13" s="24" t="s">
        <v>327</v>
      </c>
      <c r="I13" s="14">
        <v>46031</v>
      </c>
      <c r="J13" s="14"/>
      <c r="K13" s="32">
        <f t="shared" si="6"/>
        <v>3.3333333333333335E-3</v>
      </c>
      <c r="L13" s="32">
        <v>0.01</v>
      </c>
      <c r="M13" s="32">
        <v>0</v>
      </c>
      <c r="N13" s="32">
        <v>0</v>
      </c>
      <c r="O13" s="12" t="s">
        <v>188</v>
      </c>
      <c r="P13" s="16" t="s">
        <v>329</v>
      </c>
      <c r="Q13" s="36" t="s">
        <v>430</v>
      </c>
    </row>
    <row r="14" spans="1:17" ht="90" x14ac:dyDescent="0.25">
      <c r="A14" s="12" t="s">
        <v>217</v>
      </c>
      <c r="B14" s="12" t="s">
        <v>318</v>
      </c>
      <c r="C14" s="15">
        <v>53</v>
      </c>
      <c r="D14" s="12" t="s">
        <v>337</v>
      </c>
      <c r="E14" s="20" t="s">
        <v>3</v>
      </c>
      <c r="F14" s="12"/>
      <c r="G14" s="12" t="s">
        <v>335</v>
      </c>
      <c r="H14" s="24" t="s">
        <v>336</v>
      </c>
      <c r="I14" s="14">
        <v>46034</v>
      </c>
      <c r="J14" s="14"/>
      <c r="K14" s="32">
        <f t="shared" ref="K14:K16" si="7">AVERAGE(L14:N14)</f>
        <v>3.3333333333333335E-3</v>
      </c>
      <c r="L14" s="32">
        <v>0.01</v>
      </c>
      <c r="M14" s="32">
        <v>0</v>
      </c>
      <c r="N14" s="32">
        <v>0</v>
      </c>
      <c r="P14" s="16"/>
      <c r="Q14" s="16"/>
    </row>
    <row r="15" spans="1:17" ht="90" x14ac:dyDescent="0.25">
      <c r="A15" s="12" t="s">
        <v>295</v>
      </c>
      <c r="B15" s="12" t="s">
        <v>319</v>
      </c>
      <c r="C15" s="15" t="s">
        <v>330</v>
      </c>
      <c r="D15" s="12" t="s">
        <v>338</v>
      </c>
      <c r="E15" s="20" t="s">
        <v>422</v>
      </c>
      <c r="F15" s="12"/>
      <c r="G15" s="12" t="s">
        <v>290</v>
      </c>
      <c r="H15" s="24" t="s">
        <v>265</v>
      </c>
      <c r="I15" s="14">
        <v>46034</v>
      </c>
      <c r="J15" s="14">
        <v>46063</v>
      </c>
      <c r="K15" s="32">
        <f t="shared" si="7"/>
        <v>1</v>
      </c>
      <c r="L15" s="32">
        <v>1</v>
      </c>
      <c r="M15" s="32">
        <v>1</v>
      </c>
      <c r="N15" s="32">
        <v>1</v>
      </c>
      <c r="O15" s="12" t="s">
        <v>188</v>
      </c>
      <c r="P15" s="16"/>
      <c r="Q15" s="36" t="s">
        <v>427</v>
      </c>
    </row>
    <row r="16" spans="1:17" ht="90" x14ac:dyDescent="0.25">
      <c r="A16" s="12" t="s">
        <v>317</v>
      </c>
      <c r="B16" s="12" t="s">
        <v>320</v>
      </c>
      <c r="C16" s="15" t="s">
        <v>331</v>
      </c>
      <c r="D16" s="12" t="s">
        <v>339</v>
      </c>
      <c r="E16" s="20" t="s">
        <v>3</v>
      </c>
      <c r="F16" s="12"/>
      <c r="G16" s="12" t="s">
        <v>333</v>
      </c>
      <c r="H16" s="24" t="s">
        <v>334</v>
      </c>
      <c r="I16" s="14">
        <v>46034</v>
      </c>
      <c r="J16" s="14"/>
      <c r="K16" s="32">
        <f t="shared" si="7"/>
        <v>3.3333333333333335E-3</v>
      </c>
      <c r="L16" s="32">
        <v>0.01</v>
      </c>
      <c r="M16" s="32">
        <v>0</v>
      </c>
      <c r="N16" s="32">
        <v>0</v>
      </c>
      <c r="O16" s="12" t="s">
        <v>188</v>
      </c>
      <c r="P16" s="16"/>
      <c r="Q16" s="16"/>
    </row>
    <row r="17" spans="1:17" ht="90" x14ac:dyDescent="0.25">
      <c r="A17" s="12" t="s">
        <v>285</v>
      </c>
      <c r="B17" s="12" t="s">
        <v>324</v>
      </c>
      <c r="C17" s="15">
        <v>2687</v>
      </c>
      <c r="D17" s="12" t="s">
        <v>340</v>
      </c>
      <c r="E17" s="20" t="s">
        <v>3</v>
      </c>
      <c r="F17" s="12"/>
      <c r="G17" s="12" t="s">
        <v>289</v>
      </c>
      <c r="H17" s="24" t="s">
        <v>286</v>
      </c>
      <c r="I17" s="14">
        <v>46035</v>
      </c>
      <c r="J17" s="14"/>
      <c r="K17" s="32">
        <f t="shared" ref="K17:K18" si="8">AVERAGE(L17:N17)</f>
        <v>3.3333333333333335E-3</v>
      </c>
      <c r="L17" s="32">
        <v>0.01</v>
      </c>
      <c r="M17" s="32">
        <v>0</v>
      </c>
      <c r="N17" s="32">
        <v>0</v>
      </c>
      <c r="O17" s="12" t="s">
        <v>188</v>
      </c>
      <c r="P17" s="16"/>
      <c r="Q17" s="16"/>
    </row>
    <row r="18" spans="1:17" ht="90" x14ac:dyDescent="0.25">
      <c r="A18" s="12" t="s">
        <v>285</v>
      </c>
      <c r="B18" s="12" t="s">
        <v>332</v>
      </c>
      <c r="C18" s="15">
        <v>2690</v>
      </c>
      <c r="D18" s="12" t="s">
        <v>341</v>
      </c>
      <c r="E18" s="20" t="s">
        <v>3</v>
      </c>
      <c r="F18" s="12"/>
      <c r="G18" s="12" t="s">
        <v>289</v>
      </c>
      <c r="H18" s="24" t="s">
        <v>286</v>
      </c>
      <c r="I18" s="14">
        <v>46035</v>
      </c>
      <c r="J18" s="14"/>
      <c r="K18" s="32">
        <f t="shared" si="8"/>
        <v>3.3333333333333335E-3</v>
      </c>
      <c r="L18" s="32">
        <v>0.01</v>
      </c>
      <c r="M18" s="32">
        <v>0</v>
      </c>
      <c r="N18" s="32">
        <v>0</v>
      </c>
      <c r="O18" s="12" t="s">
        <v>188</v>
      </c>
      <c r="P18" s="16"/>
      <c r="Q18" s="16"/>
    </row>
    <row r="19" spans="1:17" ht="90" x14ac:dyDescent="0.25">
      <c r="A19" s="12" t="s">
        <v>268</v>
      </c>
      <c r="B19" s="12" t="s">
        <v>342</v>
      </c>
      <c r="C19" s="15">
        <v>2711</v>
      </c>
      <c r="D19" s="12" t="s">
        <v>343</v>
      </c>
      <c r="E19" s="20" t="s">
        <v>3</v>
      </c>
      <c r="F19" s="12"/>
      <c r="G19" s="12" t="s">
        <v>269</v>
      </c>
      <c r="H19" s="24" t="s">
        <v>310</v>
      </c>
      <c r="I19" s="14">
        <v>46037</v>
      </c>
      <c r="J19" s="14"/>
      <c r="K19" s="32">
        <f t="shared" ref="K19" si="9">AVERAGE(L19:N19)</f>
        <v>3.3333333333333335E-3</v>
      </c>
      <c r="L19" s="32">
        <v>0.01</v>
      </c>
      <c r="M19" s="32">
        <v>0</v>
      </c>
      <c r="N19" s="32">
        <v>0</v>
      </c>
      <c r="P19" s="16"/>
      <c r="Q19" s="16"/>
    </row>
    <row r="20" spans="1:17" ht="90" x14ac:dyDescent="0.25">
      <c r="A20" s="12" t="s">
        <v>268</v>
      </c>
      <c r="B20" s="12" t="s">
        <v>344</v>
      </c>
      <c r="C20" s="15">
        <v>2721</v>
      </c>
      <c r="D20" s="12" t="s">
        <v>345</v>
      </c>
      <c r="E20" s="20" t="s">
        <v>3</v>
      </c>
      <c r="F20" s="12"/>
      <c r="G20" s="12" t="s">
        <v>269</v>
      </c>
      <c r="H20" s="24" t="s">
        <v>310</v>
      </c>
      <c r="I20" s="14">
        <v>46037</v>
      </c>
      <c r="J20" s="14"/>
      <c r="K20" s="32">
        <f t="shared" ref="K20" si="10">AVERAGE(L20:N20)</f>
        <v>3.3333333333333335E-3</v>
      </c>
      <c r="L20" s="32">
        <v>0.01</v>
      </c>
      <c r="M20" s="32">
        <v>0</v>
      </c>
      <c r="N20" s="32">
        <v>0</v>
      </c>
      <c r="O20" s="12" t="s">
        <v>188</v>
      </c>
      <c r="P20" s="16"/>
      <c r="Q20" s="16"/>
    </row>
    <row r="21" spans="1:17" ht="105" x14ac:dyDescent="0.25">
      <c r="A21" s="12" t="s">
        <v>346</v>
      </c>
      <c r="B21" s="12" t="s">
        <v>348</v>
      </c>
      <c r="C21" s="15" t="s">
        <v>350</v>
      </c>
      <c r="D21" s="12" t="s">
        <v>106</v>
      </c>
      <c r="E21" s="20" t="s">
        <v>3</v>
      </c>
      <c r="F21" s="12"/>
      <c r="G21" s="12" t="s">
        <v>351</v>
      </c>
      <c r="H21" s="24" t="s">
        <v>355</v>
      </c>
      <c r="I21" s="14">
        <v>46038</v>
      </c>
      <c r="J21" s="14"/>
      <c r="K21" s="32">
        <f t="shared" ref="K21:K22" si="11">AVERAGE(L21:N21)</f>
        <v>3.3333333333333335E-3</v>
      </c>
      <c r="L21" s="32">
        <v>0.01</v>
      </c>
      <c r="M21" s="32">
        <v>0</v>
      </c>
      <c r="N21" s="32">
        <v>0</v>
      </c>
      <c r="P21" s="16"/>
      <c r="Q21" s="16"/>
    </row>
    <row r="22" spans="1:17" ht="90" x14ac:dyDescent="0.25">
      <c r="A22" s="12" t="s">
        <v>347</v>
      </c>
      <c r="B22" s="12" t="s">
        <v>349</v>
      </c>
      <c r="C22" s="15">
        <v>2746</v>
      </c>
      <c r="D22" s="12" t="s">
        <v>354</v>
      </c>
      <c r="E22" s="20" t="s">
        <v>3</v>
      </c>
      <c r="F22" s="12"/>
      <c r="G22" s="12" t="s">
        <v>352</v>
      </c>
      <c r="H22" s="24" t="s">
        <v>353</v>
      </c>
      <c r="I22" s="14">
        <v>46042</v>
      </c>
      <c r="J22" s="14"/>
      <c r="K22" s="32">
        <f t="shared" si="11"/>
        <v>3.3333333333333335E-3</v>
      </c>
      <c r="L22" s="32">
        <v>0.01</v>
      </c>
      <c r="M22" s="32">
        <v>0</v>
      </c>
      <c r="N22" s="32">
        <v>0</v>
      </c>
      <c r="O22" s="12" t="s">
        <v>188</v>
      </c>
      <c r="P22" s="16"/>
      <c r="Q22" s="16"/>
    </row>
    <row r="23" spans="1:17" ht="75" x14ac:dyDescent="0.25">
      <c r="A23" s="12" t="s">
        <v>51</v>
      </c>
      <c r="B23" s="12" t="s">
        <v>357</v>
      </c>
      <c r="C23" s="15">
        <v>2706</v>
      </c>
      <c r="D23" s="12" t="s">
        <v>360</v>
      </c>
      <c r="E23" s="20" t="s">
        <v>3</v>
      </c>
      <c r="F23" s="12"/>
      <c r="G23" s="12" t="s">
        <v>53</v>
      </c>
      <c r="H23" s="24" t="s">
        <v>322</v>
      </c>
      <c r="I23" s="14">
        <v>46036</v>
      </c>
      <c r="J23" s="14"/>
      <c r="K23" s="32">
        <f t="shared" ref="K23:K24" si="12">AVERAGE(L23:N23)</f>
        <v>3.3333333333333335E-3</v>
      </c>
      <c r="L23" s="32">
        <v>0.01</v>
      </c>
      <c r="M23" s="32">
        <v>0</v>
      </c>
      <c r="N23" s="32">
        <v>0</v>
      </c>
      <c r="O23" s="12" t="s">
        <v>188</v>
      </c>
      <c r="P23" s="16"/>
      <c r="Q23" s="16"/>
    </row>
    <row r="24" spans="1:17" ht="120" x14ac:dyDescent="0.25">
      <c r="A24" s="12" t="s">
        <v>356</v>
      </c>
      <c r="B24" s="12" t="s">
        <v>358</v>
      </c>
      <c r="C24" s="15" t="s">
        <v>359</v>
      </c>
      <c r="D24" s="12" t="s">
        <v>361</v>
      </c>
      <c r="E24" s="20" t="s">
        <v>3</v>
      </c>
      <c r="F24" s="12"/>
      <c r="G24" s="12" t="s">
        <v>238</v>
      </c>
      <c r="H24" s="24" t="s">
        <v>362</v>
      </c>
      <c r="I24" s="14">
        <v>46043</v>
      </c>
      <c r="J24" s="14"/>
      <c r="K24" s="32">
        <f t="shared" si="12"/>
        <v>3.3333333333333335E-3</v>
      </c>
      <c r="L24" s="32">
        <v>0.01</v>
      </c>
      <c r="M24" s="32">
        <v>0</v>
      </c>
      <c r="N24" s="32">
        <v>0</v>
      </c>
      <c r="P24" s="16"/>
      <c r="Q24" s="16"/>
    </row>
    <row r="25" spans="1:17" ht="90" x14ac:dyDescent="0.25">
      <c r="A25" s="12" t="s">
        <v>91</v>
      </c>
      <c r="B25" s="12" t="s">
        <v>363</v>
      </c>
      <c r="C25" s="15">
        <v>2781</v>
      </c>
      <c r="D25" s="12" t="s">
        <v>364</v>
      </c>
      <c r="E25" s="20" t="s">
        <v>3</v>
      </c>
      <c r="F25" s="12"/>
      <c r="G25" s="12" t="s">
        <v>157</v>
      </c>
      <c r="H25" s="24" t="s">
        <v>398</v>
      </c>
      <c r="I25" s="14">
        <v>46045</v>
      </c>
      <c r="J25" s="14"/>
      <c r="K25" s="32">
        <f t="shared" ref="K25" si="13">AVERAGE(L25:N25)</f>
        <v>3.3333333333333335E-3</v>
      </c>
      <c r="L25" s="32">
        <v>0.01</v>
      </c>
      <c r="M25" s="32">
        <v>0</v>
      </c>
      <c r="N25" s="32">
        <v>0</v>
      </c>
      <c r="O25" s="12" t="s">
        <v>188</v>
      </c>
      <c r="P25" s="16"/>
      <c r="Q25" s="16"/>
    </row>
    <row r="26" spans="1:17" ht="90" x14ac:dyDescent="0.25">
      <c r="A26" s="12" t="s">
        <v>268</v>
      </c>
      <c r="B26" s="12" t="s">
        <v>365</v>
      </c>
      <c r="C26" s="15">
        <v>2787</v>
      </c>
      <c r="D26" s="12" t="s">
        <v>367</v>
      </c>
      <c r="E26" s="20" t="s">
        <v>3</v>
      </c>
      <c r="F26" s="12"/>
      <c r="G26" s="12" t="s">
        <v>269</v>
      </c>
      <c r="H26" s="24" t="s">
        <v>310</v>
      </c>
      <c r="I26" s="14">
        <v>46045</v>
      </c>
      <c r="J26" s="14"/>
      <c r="K26" s="32">
        <f t="shared" ref="K26:K27" si="14">AVERAGE(L26:N26)</f>
        <v>3.3333333333333335E-3</v>
      </c>
      <c r="L26" s="32">
        <v>0.01</v>
      </c>
      <c r="M26" s="32">
        <v>0</v>
      </c>
      <c r="N26" s="32">
        <v>0</v>
      </c>
      <c r="O26" s="12" t="s">
        <v>188</v>
      </c>
      <c r="P26" s="16"/>
      <c r="Q26" s="16"/>
    </row>
    <row r="27" spans="1:17" ht="90" x14ac:dyDescent="0.25">
      <c r="A27" s="12" t="s">
        <v>347</v>
      </c>
      <c r="B27" s="12" t="s">
        <v>366</v>
      </c>
      <c r="C27" s="15">
        <v>2800</v>
      </c>
      <c r="D27" s="12" t="s">
        <v>368</v>
      </c>
      <c r="E27" s="20" t="s">
        <v>3</v>
      </c>
      <c r="F27" s="12"/>
      <c r="G27" s="12" t="s">
        <v>352</v>
      </c>
      <c r="H27" s="24" t="s">
        <v>353</v>
      </c>
      <c r="I27" s="14">
        <v>46049</v>
      </c>
      <c r="J27" s="14"/>
      <c r="K27" s="32">
        <f t="shared" si="14"/>
        <v>3.3333333333333335E-3</v>
      </c>
      <c r="L27" s="32">
        <v>0.01</v>
      </c>
      <c r="M27" s="32">
        <v>0</v>
      </c>
      <c r="N27" s="32">
        <v>0</v>
      </c>
      <c r="P27" s="16"/>
      <c r="Q27" s="16"/>
    </row>
    <row r="28" spans="1:17" ht="90" x14ac:dyDescent="0.25">
      <c r="A28" s="12" t="s">
        <v>17</v>
      </c>
      <c r="B28" s="12" t="s">
        <v>369</v>
      </c>
      <c r="C28" s="15" t="s">
        <v>370</v>
      </c>
      <c r="D28" s="12" t="s">
        <v>371</v>
      </c>
      <c r="E28" s="20" t="s">
        <v>3</v>
      </c>
      <c r="F28" s="12"/>
      <c r="G28" s="12" t="s">
        <v>189</v>
      </c>
      <c r="H28" s="24" t="s">
        <v>372</v>
      </c>
      <c r="I28" s="14">
        <v>46050</v>
      </c>
      <c r="J28" s="14"/>
      <c r="K28" s="32">
        <f t="shared" ref="K28" si="15">AVERAGE(L28:N28)</f>
        <v>3.3333333333333335E-3</v>
      </c>
      <c r="L28" s="32">
        <v>0.01</v>
      </c>
      <c r="M28" s="32">
        <v>0</v>
      </c>
      <c r="N28" s="32">
        <v>0</v>
      </c>
      <c r="O28" s="12" t="s">
        <v>188</v>
      </c>
      <c r="P28" s="16"/>
      <c r="Q28" s="16"/>
    </row>
    <row r="29" spans="1:17" ht="150" x14ac:dyDescent="0.25">
      <c r="A29" s="12" t="s">
        <v>373</v>
      </c>
      <c r="B29" s="12" t="s">
        <v>374</v>
      </c>
      <c r="C29" s="15" t="s">
        <v>67</v>
      </c>
      <c r="D29" s="12" t="s">
        <v>376</v>
      </c>
      <c r="E29" s="20" t="s">
        <v>3</v>
      </c>
      <c r="F29" s="12"/>
      <c r="G29" s="12" t="s">
        <v>375</v>
      </c>
      <c r="H29" s="24" t="s">
        <v>399</v>
      </c>
      <c r="I29" s="14">
        <v>46051</v>
      </c>
      <c r="J29" s="14"/>
      <c r="K29" s="32">
        <f t="shared" ref="K29" si="16">AVERAGE(L29:N29)</f>
        <v>3.3333333333333335E-3</v>
      </c>
      <c r="L29" s="32">
        <v>0.01</v>
      </c>
      <c r="M29" s="32">
        <v>0</v>
      </c>
      <c r="N29" s="32">
        <v>0</v>
      </c>
      <c r="P29" s="16"/>
      <c r="Q29" s="16"/>
    </row>
    <row r="30" spans="1:17" ht="75" x14ac:dyDescent="0.25">
      <c r="A30" s="12" t="s">
        <v>51</v>
      </c>
      <c r="B30" s="12" t="s">
        <v>377</v>
      </c>
      <c r="C30" s="15">
        <v>2814</v>
      </c>
      <c r="D30" s="12" t="s">
        <v>378</v>
      </c>
      <c r="E30" s="20" t="s">
        <v>3</v>
      </c>
      <c r="F30" s="12"/>
      <c r="G30" s="12" t="s">
        <v>53</v>
      </c>
      <c r="H30" s="24" t="s">
        <v>322</v>
      </c>
      <c r="I30" s="14">
        <v>46051</v>
      </c>
      <c r="J30" s="14"/>
      <c r="K30" s="32">
        <f t="shared" ref="K30" si="17">AVERAGE(L30:N30)</f>
        <v>3.3333333333333335E-3</v>
      </c>
      <c r="L30" s="32">
        <v>0.01</v>
      </c>
      <c r="M30" s="32">
        <v>0</v>
      </c>
      <c r="N30" s="32">
        <v>0</v>
      </c>
      <c r="P30" s="16"/>
      <c r="Q30" s="16"/>
    </row>
    <row r="31" spans="1:17" ht="45" x14ac:dyDescent="0.25">
      <c r="A31" s="12" t="s">
        <v>281</v>
      </c>
      <c r="B31" s="12" t="s">
        <v>382</v>
      </c>
      <c r="C31" s="15" t="s">
        <v>383</v>
      </c>
      <c r="D31" s="12" t="s">
        <v>384</v>
      </c>
      <c r="E31" s="20" t="s">
        <v>3</v>
      </c>
      <c r="F31" s="12"/>
      <c r="G31" s="12" t="s">
        <v>381</v>
      </c>
      <c r="H31" s="24" t="s">
        <v>379</v>
      </c>
      <c r="I31" s="14">
        <v>46055</v>
      </c>
      <c r="J31" s="14"/>
      <c r="K31" s="32">
        <f t="shared" ref="K31" si="18">AVERAGE(L31:N31)</f>
        <v>3.3333333333333335E-3</v>
      </c>
      <c r="L31" s="32">
        <v>0.01</v>
      </c>
      <c r="M31" s="32">
        <v>0</v>
      </c>
      <c r="N31" s="32">
        <v>0</v>
      </c>
      <c r="O31" s="12" t="s">
        <v>380</v>
      </c>
      <c r="P31" s="16"/>
      <c r="Q31" s="16"/>
    </row>
    <row r="32" spans="1:17" ht="75" x14ac:dyDescent="0.25">
      <c r="A32" s="12" t="s">
        <v>385</v>
      </c>
      <c r="B32" s="12" t="s">
        <v>386</v>
      </c>
      <c r="C32" s="15" t="s">
        <v>387</v>
      </c>
      <c r="D32" s="12" t="s">
        <v>87</v>
      </c>
      <c r="E32" s="20" t="s">
        <v>3</v>
      </c>
      <c r="F32" s="12"/>
      <c r="G32" s="12" t="s">
        <v>388</v>
      </c>
      <c r="H32" s="24" t="s">
        <v>389</v>
      </c>
      <c r="I32" s="14">
        <v>46055</v>
      </c>
      <c r="J32" s="14"/>
      <c r="K32" s="32">
        <f t="shared" ref="K32" si="19">AVERAGE(L32:N32)</f>
        <v>3.3333333333333335E-3</v>
      </c>
      <c r="L32" s="32">
        <v>0.01</v>
      </c>
      <c r="M32" s="32">
        <v>0</v>
      </c>
      <c r="N32" s="32">
        <v>0</v>
      </c>
      <c r="O32" s="12" t="s">
        <v>188</v>
      </c>
      <c r="P32" s="16"/>
      <c r="Q32" s="16"/>
    </row>
    <row r="33" spans="1:17" ht="90" x14ac:dyDescent="0.25">
      <c r="A33" s="12" t="s">
        <v>294</v>
      </c>
      <c r="B33" s="12" t="s">
        <v>390</v>
      </c>
      <c r="C33" s="15">
        <v>2836</v>
      </c>
      <c r="D33" s="12" t="s">
        <v>394</v>
      </c>
      <c r="E33" s="20" t="s">
        <v>3</v>
      </c>
      <c r="F33" s="12"/>
      <c r="G33" s="12" t="s">
        <v>278</v>
      </c>
      <c r="H33" s="24" t="s">
        <v>279</v>
      </c>
      <c r="I33" s="14">
        <v>46056</v>
      </c>
      <c r="J33" s="14"/>
      <c r="K33" s="32">
        <f t="shared" ref="K33:K34" si="20">AVERAGE(L33:N33)</f>
        <v>3.3333333333333335E-3</v>
      </c>
      <c r="L33" s="32">
        <v>0.01</v>
      </c>
      <c r="M33" s="32">
        <v>0</v>
      </c>
      <c r="N33" s="32">
        <v>0</v>
      </c>
      <c r="P33" s="16"/>
      <c r="Q33" s="16"/>
    </row>
    <row r="34" spans="1:17" ht="90" x14ac:dyDescent="0.25">
      <c r="A34" s="12" t="s">
        <v>261</v>
      </c>
      <c r="B34" s="12" t="s">
        <v>391</v>
      </c>
      <c r="C34" s="15" t="s">
        <v>396</v>
      </c>
      <c r="D34" s="12" t="s">
        <v>395</v>
      </c>
      <c r="E34" s="20" t="s">
        <v>3</v>
      </c>
      <c r="F34" s="12"/>
      <c r="G34" s="12" t="s">
        <v>393</v>
      </c>
      <c r="H34" s="24" t="s">
        <v>392</v>
      </c>
      <c r="I34" s="14">
        <v>46056</v>
      </c>
      <c r="J34" s="14"/>
      <c r="K34" s="32">
        <f t="shared" si="20"/>
        <v>3.3333333333333335E-3</v>
      </c>
      <c r="L34" s="32">
        <v>0.01</v>
      </c>
      <c r="M34" s="32">
        <v>0</v>
      </c>
      <c r="N34" s="32">
        <v>0</v>
      </c>
      <c r="O34" s="12" t="s">
        <v>380</v>
      </c>
      <c r="P34" s="16"/>
      <c r="Q34" s="16"/>
    </row>
    <row r="35" spans="1:17" ht="75" x14ac:dyDescent="0.25">
      <c r="A35" s="12" t="s">
        <v>301</v>
      </c>
      <c r="B35" s="12" t="s">
        <v>397</v>
      </c>
      <c r="C35" s="15" t="s">
        <v>405</v>
      </c>
      <c r="D35" s="12" t="s">
        <v>409</v>
      </c>
      <c r="E35" s="20" t="s">
        <v>3</v>
      </c>
      <c r="F35" s="12"/>
      <c r="G35" s="12" t="s">
        <v>303</v>
      </c>
      <c r="H35" s="24" t="s">
        <v>304</v>
      </c>
      <c r="I35" s="14">
        <v>46058</v>
      </c>
      <c r="J35" s="14"/>
      <c r="K35" s="32">
        <f t="shared" ref="K35:K39" si="21">AVERAGE(L35:N35)</f>
        <v>3.3333333333333335E-3</v>
      </c>
      <c r="L35" s="32">
        <v>0.01</v>
      </c>
      <c r="M35" s="32">
        <v>0</v>
      </c>
      <c r="N35" s="32">
        <v>0</v>
      </c>
      <c r="P35" s="16"/>
      <c r="Q35" s="16"/>
    </row>
    <row r="36" spans="1:17" ht="90" x14ac:dyDescent="0.25">
      <c r="A36" s="12" t="s">
        <v>294</v>
      </c>
      <c r="B36" s="12" t="s">
        <v>401</v>
      </c>
      <c r="C36" s="15">
        <v>2858</v>
      </c>
      <c r="D36" s="12" t="s">
        <v>394</v>
      </c>
      <c r="E36" s="20" t="s">
        <v>3</v>
      </c>
      <c r="F36" s="12"/>
      <c r="G36" s="12" t="s">
        <v>278</v>
      </c>
      <c r="H36" s="24" t="s">
        <v>279</v>
      </c>
      <c r="I36" s="14">
        <v>46059</v>
      </c>
      <c r="J36" s="14"/>
      <c r="K36" s="32">
        <f t="shared" si="21"/>
        <v>3.3333333333333335E-3</v>
      </c>
      <c r="L36" s="32">
        <v>0.01</v>
      </c>
      <c r="M36" s="32">
        <v>0</v>
      </c>
      <c r="N36" s="32">
        <v>0</v>
      </c>
      <c r="O36" s="12" t="s">
        <v>188</v>
      </c>
      <c r="P36" s="16"/>
      <c r="Q36" s="16"/>
    </row>
    <row r="37" spans="1:17" ht="120" x14ac:dyDescent="0.25">
      <c r="A37" s="12" t="s">
        <v>400</v>
      </c>
      <c r="B37" s="12" t="s">
        <v>402</v>
      </c>
      <c r="C37" s="15" t="s">
        <v>406</v>
      </c>
      <c r="D37" s="12" t="s">
        <v>410</v>
      </c>
      <c r="E37" s="20" t="s">
        <v>3</v>
      </c>
      <c r="F37" s="12"/>
      <c r="G37" s="12" t="s">
        <v>417</v>
      </c>
      <c r="H37" s="24" t="s">
        <v>418</v>
      </c>
      <c r="I37" s="14">
        <v>46059</v>
      </c>
      <c r="J37" s="14"/>
      <c r="K37" s="32">
        <f t="shared" si="21"/>
        <v>3.3333333333333335E-3</v>
      </c>
      <c r="L37" s="32">
        <v>0.01</v>
      </c>
      <c r="M37" s="32">
        <v>0</v>
      </c>
      <c r="N37" s="32">
        <v>0</v>
      </c>
      <c r="O37" s="12" t="s">
        <v>188</v>
      </c>
      <c r="P37" s="16"/>
      <c r="Q37" s="16"/>
    </row>
    <row r="38" spans="1:17" ht="90" x14ac:dyDescent="0.25">
      <c r="A38" s="12" t="s">
        <v>281</v>
      </c>
      <c r="B38" s="12" t="s">
        <v>403</v>
      </c>
      <c r="C38" s="15" t="s">
        <v>407</v>
      </c>
      <c r="D38" s="12" t="s">
        <v>411</v>
      </c>
      <c r="E38" s="20" t="s">
        <v>3</v>
      </c>
      <c r="F38" s="12"/>
      <c r="G38" s="12" t="s">
        <v>284</v>
      </c>
      <c r="H38" s="24" t="s">
        <v>283</v>
      </c>
      <c r="I38" s="14">
        <v>46059</v>
      </c>
      <c r="J38" s="14"/>
      <c r="K38" s="32">
        <f t="shared" si="21"/>
        <v>3.3333333333333335E-3</v>
      </c>
      <c r="L38" s="32">
        <v>0.01</v>
      </c>
      <c r="M38" s="32">
        <v>0</v>
      </c>
      <c r="N38" s="32">
        <v>0</v>
      </c>
      <c r="P38" s="16"/>
      <c r="Q38" s="16"/>
    </row>
    <row r="39" spans="1:17" ht="90" x14ac:dyDescent="0.25">
      <c r="A39" s="12" t="s">
        <v>264</v>
      </c>
      <c r="B39" s="12" t="s">
        <v>404</v>
      </c>
      <c r="C39" s="15" t="s">
        <v>408</v>
      </c>
      <c r="D39" s="12" t="s">
        <v>412</v>
      </c>
      <c r="E39" s="20" t="s">
        <v>3</v>
      </c>
      <c r="F39" s="12"/>
      <c r="G39" s="12" t="s">
        <v>290</v>
      </c>
      <c r="H39" s="24" t="s">
        <v>265</v>
      </c>
      <c r="I39" s="14">
        <v>46059</v>
      </c>
      <c r="J39" s="14"/>
      <c r="K39" s="32">
        <f t="shared" si="21"/>
        <v>3.3333333333333335E-3</v>
      </c>
      <c r="L39" s="32">
        <v>0.01</v>
      </c>
      <c r="M39" s="32">
        <v>0</v>
      </c>
      <c r="N39" s="32">
        <v>0</v>
      </c>
      <c r="P39" s="16"/>
      <c r="Q39" s="16"/>
    </row>
    <row r="40" spans="1:17" ht="75" x14ac:dyDescent="0.25">
      <c r="A40" s="12" t="s">
        <v>413</v>
      </c>
      <c r="B40" s="12" t="s">
        <v>414</v>
      </c>
      <c r="C40" s="15" t="s">
        <v>67</v>
      </c>
      <c r="D40" s="12" t="s">
        <v>419</v>
      </c>
      <c r="E40" s="20" t="s">
        <v>3</v>
      </c>
      <c r="F40" s="12"/>
      <c r="G40" s="12" t="s">
        <v>416</v>
      </c>
      <c r="H40" s="24" t="s">
        <v>415</v>
      </c>
      <c r="I40" s="14"/>
      <c r="J40" s="14"/>
      <c r="K40" s="32">
        <f t="shared" ref="K40" si="22">AVERAGE(L40:N40)</f>
        <v>3.3333333333333335E-3</v>
      </c>
      <c r="L40" s="32">
        <v>0.01</v>
      </c>
      <c r="M40" s="32">
        <v>0</v>
      </c>
      <c r="N40" s="32">
        <v>0</v>
      </c>
      <c r="P40" s="16"/>
      <c r="Q40" s="16"/>
    </row>
    <row r="41" spans="1:17" ht="90" x14ac:dyDescent="0.25">
      <c r="A41" s="12" t="s">
        <v>91</v>
      </c>
      <c r="B41" s="12" t="s">
        <v>420</v>
      </c>
      <c r="C41" s="15">
        <v>2863</v>
      </c>
      <c r="D41" s="12" t="s">
        <v>421</v>
      </c>
      <c r="E41" s="20" t="s">
        <v>3</v>
      </c>
      <c r="F41" s="12"/>
      <c r="G41" s="12" t="s">
        <v>157</v>
      </c>
      <c r="H41" s="24" t="s">
        <v>398</v>
      </c>
      <c r="I41" s="14">
        <v>46062</v>
      </c>
      <c r="J41" s="14"/>
      <c r="K41" s="32">
        <f t="shared" ref="K41" si="23">AVERAGE(L41:N41)</f>
        <v>3.3333333333333335E-3</v>
      </c>
      <c r="L41" s="32">
        <v>0.01</v>
      </c>
      <c r="M41" s="32">
        <v>0</v>
      </c>
      <c r="N41" s="32">
        <v>0</v>
      </c>
      <c r="P41" s="16"/>
      <c r="Q41" s="16"/>
    </row>
    <row r="42" spans="1:17" ht="75" x14ac:dyDescent="0.25">
      <c r="A42" s="12" t="s">
        <v>255</v>
      </c>
      <c r="B42" s="12" t="s">
        <v>428</v>
      </c>
      <c r="C42" s="15">
        <v>2872</v>
      </c>
      <c r="D42" s="12" t="s">
        <v>429</v>
      </c>
      <c r="E42" s="20" t="s">
        <v>3</v>
      </c>
      <c r="F42" s="12"/>
      <c r="G42" s="12" t="s">
        <v>155</v>
      </c>
      <c r="H42" s="24" t="s">
        <v>291</v>
      </c>
      <c r="I42" s="14">
        <v>46062</v>
      </c>
      <c r="J42" s="14"/>
      <c r="K42" s="32">
        <f t="shared" ref="K42" si="24">AVERAGE(L42:N42)</f>
        <v>3.3333333333333335E-3</v>
      </c>
      <c r="L42" s="32">
        <v>0.01</v>
      </c>
      <c r="M42" s="32">
        <v>0</v>
      </c>
      <c r="N42" s="32">
        <v>0</v>
      </c>
      <c r="O42" s="12" t="s">
        <v>188</v>
      </c>
      <c r="P42" s="16"/>
      <c r="Q42" s="16"/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sheetPr codeName="Sheet18"/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256</v>
      </c>
      <c r="B1" s="18" t="s">
        <v>257</v>
      </c>
      <c r="C1" s="19" t="s">
        <v>258</v>
      </c>
      <c r="D1" s="18" t="s">
        <v>254</v>
      </c>
      <c r="E1" s="30" t="s">
        <v>3</v>
      </c>
      <c r="F1" s="18"/>
      <c r="G1" s="18" t="s">
        <v>260</v>
      </c>
      <c r="H1" s="26" t="s">
        <v>259</v>
      </c>
      <c r="I1" s="31">
        <v>45853</v>
      </c>
      <c r="J1" s="31"/>
      <c r="K1" s="32">
        <f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sheetPr codeName="Sheet19"/>
  <dimension ref="A1:O1"/>
  <sheetViews>
    <sheetView workbookViewId="0">
      <selection sqref="A1:XFD1"/>
    </sheetView>
  </sheetViews>
  <sheetFormatPr defaultRowHeight="15" x14ac:dyDescent="0.25"/>
  <sheetData>
    <row r="1" spans="1:15" ht="270" x14ac:dyDescent="0.25">
      <c r="A1" s="12" t="s">
        <v>245</v>
      </c>
      <c r="B1" s="12" t="s">
        <v>246</v>
      </c>
      <c r="C1" s="15" t="s">
        <v>248</v>
      </c>
      <c r="D1" s="12"/>
      <c r="E1" s="22" t="s">
        <v>3</v>
      </c>
      <c r="F1" s="12"/>
      <c r="G1" s="12" t="s">
        <v>249</v>
      </c>
      <c r="H1" s="24" t="s">
        <v>250</v>
      </c>
      <c r="I1" s="14"/>
      <c r="J1" s="14"/>
      <c r="K1" s="23">
        <f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sheetPr codeName="Sheet20"/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252</v>
      </c>
      <c r="I1" s="3"/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238</v>
      </c>
      <c r="H2" s="25" t="s">
        <v>237</v>
      </c>
    </row>
    <row r="3" spans="1:15" ht="105" x14ac:dyDescent="0.25">
      <c r="G3" s="20" t="s">
        <v>242</v>
      </c>
      <c r="H3" s="2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sheetPr codeName="Sheet21"/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sheetPr codeName="Sheet22"/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65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165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65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253</v>
      </c>
    </row>
    <row r="10" spans="1:14" ht="150" x14ac:dyDescent="0.25">
      <c r="A10" t="s">
        <v>261</v>
      </c>
      <c r="G10" s="20" t="s">
        <v>263</v>
      </c>
      <c r="H10" s="25" t="s">
        <v>262</v>
      </c>
    </row>
    <row r="11" spans="1:14" ht="180" x14ac:dyDescent="0.25">
      <c r="A11" t="s">
        <v>264</v>
      </c>
      <c r="G11" t="s">
        <v>266</v>
      </c>
      <c r="H11" s="2" t="s">
        <v>265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>AVERAGE(L2:N2)</f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240</v>
      </c>
      <c r="H5" s="26" t="s">
        <v>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50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7"/>
  <sheetViews>
    <sheetView topLeftCell="A4" zoomScale="85" zoomScaleNormal="85" workbookViewId="0">
      <selection activeCell="B9" sqref="B9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7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9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>AVERAGE(L5:N5)</f>
        <v>3.3333333333333335E-3</v>
      </c>
      <c r="L5" s="1">
        <v>0.01</v>
      </c>
      <c r="M5" s="1">
        <v>0</v>
      </c>
      <c r="N5" s="1">
        <v>0</v>
      </c>
    </row>
    <row r="6" spans="1:14" ht="90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7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7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90" x14ac:dyDescent="0.25">
      <c r="A9" t="s">
        <v>210</v>
      </c>
      <c r="G9" t="s">
        <v>155</v>
      </c>
      <c r="H9" s="2" t="s">
        <v>154</v>
      </c>
    </row>
    <row r="10" spans="1:14" ht="9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251</v>
      </c>
      <c r="I11" t="s">
        <v>216</v>
      </c>
      <c r="J11" s="3">
        <v>45804</v>
      </c>
      <c r="K11" s="1">
        <f>AVERAGE(L11:N11)</f>
        <v>3.3333333333333335E-3</v>
      </c>
      <c r="L11" s="1">
        <v>0.01</v>
      </c>
      <c r="M11" s="1">
        <v>0</v>
      </c>
      <c r="N11" s="1">
        <v>0</v>
      </c>
    </row>
    <row r="12" spans="1:14" ht="120" x14ac:dyDescent="0.25">
      <c r="A12" s="35" t="s">
        <v>274</v>
      </c>
      <c r="B12" t="s">
        <v>275</v>
      </c>
      <c r="C12">
        <v>2547</v>
      </c>
      <c r="D12" t="s">
        <v>276</v>
      </c>
      <c r="E12" t="s">
        <v>50</v>
      </c>
      <c r="G12" t="s">
        <v>277</v>
      </c>
      <c r="H12" s="2" t="s">
        <v>273</v>
      </c>
      <c r="I12" s="3">
        <v>45993</v>
      </c>
      <c r="J12" s="3">
        <v>46003</v>
      </c>
      <c r="K12" s="1">
        <f>AVERAGE(L12:N12)</f>
        <v>3.3333333333333335E-3</v>
      </c>
      <c r="L12" s="1">
        <v>0.01</v>
      </c>
      <c r="M12" s="1">
        <v>0</v>
      </c>
      <c r="N12" s="1">
        <v>0</v>
      </c>
    </row>
    <row r="17" spans="8:8" x14ac:dyDescent="0.25">
      <c r="H17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247</v>
      </c>
      <c r="G7" s="20" t="s">
        <v>244</v>
      </c>
      <c r="H7" s="25" t="s">
        <v>243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J3" sqref="J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235</v>
      </c>
      <c r="H3" s="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 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2026-02-11T07:15:51Z</dcterms:modified>
</cp:coreProperties>
</file>