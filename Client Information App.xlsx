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Z:\06 Operation\1. Operation Documents\3. Project Cordination\5. Data Analytics\Power Bi Projects\1. PB2401 Client Information\"/>
    </mc:Choice>
  </mc:AlternateContent>
  <xr:revisionPtr revIDLastSave="0" documentId="13_ncr:1_{93D0425E-BBD9-42C4-B0C4-135CDED41D72}" xr6:coauthVersionLast="47" xr6:coauthVersionMax="47" xr10:uidLastSave="{00000000-0000-0000-0000-000000000000}"/>
  <bookViews>
    <workbookView xWindow="38280" yWindow="-120" windowWidth="38640" windowHeight="21120" tabRatio="768" xr2:uid="{00000000-000D-0000-FFFF-FFFF00000000}"/>
  </bookViews>
  <sheets>
    <sheet name="CRM 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0" i="2" l="1"/>
  <c r="K99" i="2"/>
  <c r="K98" i="2"/>
  <c r="K97" i="2"/>
  <c r="K96" i="2"/>
  <c r="K95" i="2" l="1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 l="1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2" i="3" l="1"/>
  <c r="K1" i="24" l="1"/>
  <c r="K1" i="23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<sst xmlns="http://schemas.openxmlformats.org/spreadsheetml/2006/main" count="1744" uniqueCount="553">
  <si>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</si>
  <si>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</si>
  <si>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</si>
  <si>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</si>
  <si>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</si>
  <si>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</si>
  <si>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</si>
  <si>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</si>
  <si>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</si>
  <si>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</si>
  <si>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</si>
  <si>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</si>
  <si>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</si>
  <si>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</si>
  <si>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</si>
  <si>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</si>
  <si>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</si>
  <si>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</si>
  <si>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</si>
  <si>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</si>
  <si>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</si>
  <si>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</si>
  <si>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</si>
  <si>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</si>
  <si>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</si>
  <si>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</si>
  <si>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</si>
  <si>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</si>
  <si>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</si>
  <si>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</si>
  <si>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</si>
  <si>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</si>
  <si>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</si>
  <si>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</si>
  <si>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</si>
  <si>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</si>
  <si>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</si>
  <si>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</si>
  <si>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</si>
  <si>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</si>
  <si>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</si>
  <si>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</si>
  <si>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</si>
  <si>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</si>
  <si>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</si>
  <si>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</si>
  <si>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</si>
  <si>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</si>
  <si>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</si>
  <si>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</si>
  <si>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</si>
  <si>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</si>
  <si>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</si>
  <si>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</si>
  <si>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</si>
  <si>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</si>
  <si>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</si>
  <si>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</si>
  <si>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</si>
  <si>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</si>
  <si>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</si>
  <si>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</si>
  <si>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</si>
  <si>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</si>
  <si>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</si>
  <si>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</si>
  <si>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</si>
  <si>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</si>
  <si>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</si>
  <si>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</si>
  <si>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</si>
  <si>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</si>
  <si>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</si>
  <si>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</si>
  <si>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</si>
  <si>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</si>
  <si>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</si>
  <si>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</si>
  <si>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</si>
  <si>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</si>
  <si>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</si>
  <si>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</si>
  <si>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</si>
  <si>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</si>
  <si>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</si>
  <si>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</si>
  <si>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</si>
  <si>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</si>
  <si>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</si>
  <si>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</si>
  <si>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</si>
  <si>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</si>
  <si>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</si>
  <si>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</si>
  <si>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</si>
  <si>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</si>
  <si>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</si>
  <si>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</si>
  <si>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</si>
  <si>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</si>
  <si>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</si>
  <si>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</si>
  <si>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</si>
  <si>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</si>
  <si>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</si>
  <si>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</si>
  <si>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</si>
  <si>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</si>
  <si>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</si>
  <si>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</si>
  <si>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</si>
  <si>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</si>
  <si>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</si>
  <si>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</si>
  <si>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</si>
  <si>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</si>
  <si>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</si>
  <si>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</si>
  <si>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</si>
  <si>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</si>
  <si>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</si>
  <si>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</si>
  <si>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</si>
  <si>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</si>
  <si>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</si>
  <si>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</si>
  <si>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</si>
  <si>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</si>
  <si>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</si>
  <si>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</si>
  <si>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</si>
  <si>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</si>
  <si>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</si>
  <si>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</si>
  <si>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</si>
  <si>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</si>
  <si>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</si>
  <si>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</si>
  <si>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</si>
  <si>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</si>
  <si>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</si>
  <si>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</si>
  <si>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</si>
  <si>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</si>
  <si>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</si>
  <si>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</si>
  <si>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</si>
  <si>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</si>
  <si>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</si>
  <si>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</si>
  <si>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</si>
  <si>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</si>
  <si>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</si>
  <si>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</si>
  <si>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</si>
  <si>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</si>
  <si>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</si>
  <si>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</si>
  <si>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</si>
  <si>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</si>
  <si>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</si>
  <si>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</si>
  <si>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</si>
  <si>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</si>
  <si>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</si>
  <si>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</si>
  <si>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</si>
  <si>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</si>
  <si>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</si>
  <si>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</si>
  <si>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</si>
  <si>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</si>
  <si>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</si>
  <si>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</si>
  <si>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</si>
  <si>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</si>
  <si>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</si>
  <si>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</si>
  <si>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</si>
  <si>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</si>
  <si>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</si>
  <si>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</si>
  <si>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</si>
  <si>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</si>
  <si>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</si>
  <si>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</si>
  <si>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</si>
  <si>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</si>
  <si>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</si>
  <si>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</si>
  <si>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</si>
  <si>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</si>
  <si>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</si>
  <si>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</si>
  <si>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</si>
  <si>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</si>
  <si>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</si>
  <si>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</si>
  <si>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</si>
  <si>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</si>
  <si>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</si>
  <si>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</si>
  <si>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</si>
  <si>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</si>
  <si>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</si>
  <si>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</si>
  <si>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</si>
  <si>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</si>
  <si>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</si>
  <si>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</si>
  <si>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</si>
  <si>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</si>
  <si>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</si>
  <si>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</si>
  <si>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</si>
  <si>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</si>
  <si>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</si>
  <si>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</si>
  <si>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</si>
  <si>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</si>
  <si>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</si>
  <si>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</si>
  <si>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</si>
  <si>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</si>
  <si>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</si>
  <si>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</si>
  <si>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</si>
  <si>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</si>
  <si>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</si>
  <si>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</si>
  <si>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</si>
  <si>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</si>
  <si>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</si>
  <si>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</si>
  <si>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</si>
  <si>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</si>
  <si>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</si>
  <si>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</si>
  <si>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</si>
  <si>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</si>
  <si>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</si>
  <si>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</si>
  <si>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</si>
  <si>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</si>
  <si>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</si>
  <si>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</si>
  <si>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</si>
  <si>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</si>
  <si>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</si>
  <si>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</si>
  <si>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</si>
  <si>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</si>
  <si>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</si>
  <si>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</si>
  <si>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</si>
  <si>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CGY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</si>
  <si>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</si>
  <si>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</si>
  <si>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</si>
  <si>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</si>
  <si>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</si>
  <si>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</si>
  <si>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</si>
  <si>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</si>
  <si>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</si>
  <si>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</si>
  <si>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</si>
  <si>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Critical Information</t>
  </si>
  <si>
    <t>Broadway Central 2</t>
  </si>
  <si>
    <t>G2 3BW</t>
  </si>
  <si>
    <t>Thurrock Power Limited
Thurrock Flexible Generation
Station Road
East Tilbury
RM18 8QR
Vlad 07584 078 721</t>
  </si>
  <si>
    <t>Thurrock</t>
  </si>
  <si>
    <t>SO-2002</t>
  </si>
  <si>
    <t>Panel Brackets</t>
  </si>
  <si>
    <t>RM18 8QR</t>
  </si>
  <si>
    <t>Aluworks</t>
  </si>
  <si>
    <t>Aluworks Ltd.
 Gate 2 Chester House
 Bentails
 Basildon
 SS14 3BG
Contact: Damian +44 (0)7574 403789</t>
  </si>
  <si>
    <t xml:space="preserve"> SS14 3BG</t>
  </si>
  <si>
    <t>Southbank Place</t>
  </si>
  <si>
    <t>St George Plc
,Camden Goods Yard,
Chalk Farm Road, Chalk Farm
,Camden Town,London, NW1 8EH
Contact: Arek +44 (0) 7534 515 939</t>
  </si>
  <si>
    <t>McAleer &amp; Rushe Contracts UK Ltd
 (For FCS Facades)
 ,Broadway Central, PBSA,
200 Renfield Street,
 Glasgow, G2 3BW
Contact: Jakub +44 (0) 7772 728 234</t>
  </si>
  <si>
    <t>McAleer &amp; Rushe Contracts UK Ltd
(For FCS Facades)
Stroudley Walk
E3 3EW
Jakub - +44 (0) 7772 728 234</t>
  </si>
  <si>
    <t>Melliss Avenue</t>
  </si>
  <si>
    <t>TW9 4BZ</t>
  </si>
  <si>
    <t>McAleer &amp; Rushe Site
(For FCS Facades)
Mellis Avenue
Kew
TW9 4BZ
Piotr Slowiak +44 (0) 7968 773 582</t>
  </si>
  <si>
    <t>AJE facades 
C/O Formation 
58 Cherry orchard 
Croydon 
CR0 6BA
Dragos +44 (0) 7719 309 409</t>
  </si>
  <si>
    <t>CR0 6BA</t>
  </si>
  <si>
    <t>Cills</t>
  </si>
  <si>
    <t>McAleer &amp; Rushe Contracts UK Ltd
(For FCS Facades)
1 Church Road
Tunbridge Wells
Kent, TN1 1PN
Kontakt: Pawel +44(0) 7590 056 393 </t>
  </si>
  <si>
    <t>order_id</t>
  </si>
  <si>
    <t>status</t>
  </si>
  <si>
    <t>timestamp</t>
  </si>
  <si>
    <t>Delivery Address</t>
  </si>
  <si>
    <t>Corinthian House</t>
  </si>
  <si>
    <t>Perforated Panels</t>
  </si>
  <si>
    <t>CR0 2BX</t>
  </si>
  <si>
    <t>EK Construction Limited / TBL Roofing Limited
Corinthian House
17 Lansdowne Road
Croydon
CR0 2BX
Sebastian, +44 (0) 7851 334 852</t>
  </si>
  <si>
    <t>11/02/2026
8:55</t>
  </si>
  <si>
    <t>Aberdeen Lane</t>
  </si>
  <si>
    <t>N5 2EJ</t>
  </si>
  <si>
    <t>McAleer &amp; Rushe Contracts UK Ltd
(For FCS Facades)
Aberdeen Lane
Islington
N5 2EJ
Pawel +44 (0) 7971 679 193</t>
  </si>
  <si>
    <t>Talbot Mill</t>
  </si>
  <si>
    <t>44 Ellesmere Street, Manchester, M15 4JY
Contact: Callum +44 (0) 7787 155 920
 +44 (0) 1246 588 334</t>
  </si>
  <si>
    <t>SO-2074</t>
  </si>
  <si>
    <t>Damaged Panel</t>
  </si>
  <si>
    <t>SO-2075</t>
  </si>
  <si>
    <t>Termination Bar</t>
  </si>
  <si>
    <t>London Duck</t>
  </si>
  <si>
    <t>SO-2076</t>
  </si>
  <si>
    <t>Sub-Frame New Building</t>
  </si>
  <si>
    <t xml:space="preserve"> EW1 2SF</t>
  </si>
  <si>
    <t>St George North london Ltd
(For FCS Facades)
London Dock
St George Construction Site
Pennington Street, EW1 2SF
Arek 07534 515 939</t>
  </si>
  <si>
    <t>SO-2077</t>
  </si>
  <si>
    <t>Substation Flashing</t>
  </si>
  <si>
    <t>Selly Oak</t>
  </si>
  <si>
    <t>SO-2078</t>
  </si>
  <si>
    <t>Block A Plenums</t>
  </si>
  <si>
    <t>B29 6SJ</t>
  </si>
  <si>
    <t>McAleer &amp; Rushe Site
(For FCS Facades)
1 Chapel Lane
Selly Oak
B29 6SJ
Ruslan +44 (0) 7896 059 740</t>
  </si>
  <si>
    <t>Richmond Mews</t>
  </si>
  <si>
    <t>SO-2079</t>
  </si>
  <si>
    <t>PO00504</t>
  </si>
  <si>
    <t>SE6 3JH</t>
  </si>
  <si>
    <t>1 – 8 Richmond Mews
Fordmill Road
London
SE6 3JH
Contact – Alfie 07908 701565</t>
  </si>
  <si>
    <t>SO-2080</t>
  </si>
  <si>
    <t>Spandrel Panels</t>
  </si>
  <si>
    <t>SO-2081</t>
  </si>
  <si>
    <t>Brackets &amp; Flashings</t>
  </si>
  <si>
    <t>SO-2082</t>
  </si>
  <si>
    <t>PO41325-740-BYS</t>
  </si>
  <si>
    <t>Yellow Storage Brackets - Revision C04</t>
  </si>
  <si>
    <t>SO-2083</t>
  </si>
  <si>
    <t>PO41325-744-BYS</t>
  </si>
  <si>
    <t>YS - Bracket and Flashing</t>
  </si>
  <si>
    <t>Gun Wharf</t>
  </si>
  <si>
    <t>SO-2084</t>
  </si>
  <si>
    <t>PO00505</t>
  </si>
  <si>
    <t xml:space="preserve"> PO1 3TZ</t>
  </si>
  <si>
    <t>Gun Quays,
 Park Road,
 Portsmouth,
 PO1 3TZ
Alan Davies +44 (0) 7834 198 845</t>
  </si>
  <si>
    <t>SO-2085</t>
  </si>
  <si>
    <t>Plenums for brick</t>
  </si>
  <si>
    <t>SO-2086</t>
  </si>
  <si>
    <t>Blk B Window Brackets</t>
  </si>
  <si>
    <t>SO-2087</t>
  </si>
  <si>
    <t>DT53</t>
  </si>
  <si>
    <t>SO-2089</t>
  </si>
  <si>
    <t>Panels Mill 1</t>
  </si>
  <si>
    <t>SO-2089.1</t>
  </si>
  <si>
    <t>Panels Mill 2</t>
  </si>
  <si>
    <t>SO-2090</t>
  </si>
  <si>
    <t>Last CW Flashings</t>
  </si>
  <si>
    <t>V. Lema Prebook</t>
  </si>
  <si>
    <t>Kennington</t>
  </si>
  <si>
    <t>SO-2092</t>
  </si>
  <si>
    <t>CP595</t>
  </si>
  <si>
    <t>Panels</t>
  </si>
  <si>
    <t>SE11 5SY</t>
  </si>
  <si>
    <t>8A Harleyford Street
Oval
London
SE11 5SY
Richard +44 (0) 7854 920 942</t>
  </si>
  <si>
    <t>SO-2094</t>
  </si>
  <si>
    <t>External Flashings</t>
  </si>
  <si>
    <t>SO-2095</t>
  </si>
  <si>
    <t>SO-2096</t>
  </si>
  <si>
    <t>DT66</t>
  </si>
  <si>
    <t>Reveals Brackets</t>
  </si>
  <si>
    <t>Bosden Stockport</t>
  </si>
  <si>
    <t>SO-2097</t>
  </si>
  <si>
    <t>Fins</t>
  </si>
  <si>
    <t>SK3 8AB</t>
  </si>
  <si>
    <t>Oak Construction 
Delivery Gate
Mulberry Mount Street
Stockport
SK3 8AB</t>
  </si>
  <si>
    <t>SO-2097.1</t>
  </si>
  <si>
    <t xml:space="preserve">Canopy </t>
  </si>
  <si>
    <t>Greenwich Millennium Village</t>
  </si>
  <si>
    <t>SO-2098</t>
  </si>
  <si>
    <t>V-Groove Panels</t>
  </si>
  <si>
    <t>SE10 0JT</t>
  </si>
  <si>
    <t>McAleer &amp; Rushe Site
(For FCS Facades)
Greenwich Millennium Village
Plots 401 &amp; 403
SE10 0JT
Piotr +44 (0) 7471 273 458</t>
  </si>
  <si>
    <t>London Dock</t>
  </si>
  <si>
    <t>SO-2099</t>
  </si>
  <si>
    <t>BR14 Brackets</t>
  </si>
  <si>
    <t>SO-2100</t>
  </si>
  <si>
    <t>Plenums</t>
  </si>
  <si>
    <t>SO-2101</t>
  </si>
  <si>
    <t>Final Brackets</t>
  </si>
  <si>
    <t>SO-2102</t>
  </si>
  <si>
    <t>Door Brackets</t>
  </si>
  <si>
    <t>Mellis Avenue</t>
  </si>
  <si>
    <t>SO-2103</t>
  </si>
  <si>
    <t>Plenums for Brick</t>
  </si>
  <si>
    <t>SO-2104</t>
  </si>
  <si>
    <t>DT78</t>
  </si>
  <si>
    <t>Brackets Prod. 2</t>
  </si>
  <si>
    <t>SO-2105</t>
  </si>
  <si>
    <t>L2 Subframe</t>
  </si>
  <si>
    <t>SO-2106</t>
  </si>
  <si>
    <t>DT81</t>
  </si>
  <si>
    <t>Brackets Prod. 3</t>
  </si>
  <si>
    <t>SO-2107</t>
  </si>
  <si>
    <t>Plates for Doors</t>
  </si>
  <si>
    <t>SO-2108</t>
  </si>
  <si>
    <t>Dummy Plenums</t>
  </si>
  <si>
    <t>SO-2109</t>
  </si>
  <si>
    <t>P.O.CHC009</t>
  </si>
  <si>
    <t>Extra Panels &amp; Renew Corner</t>
  </si>
  <si>
    <t>SO-2110</t>
  </si>
  <si>
    <t>Coping</t>
  </si>
  <si>
    <t>SO-2111</t>
  </si>
  <si>
    <t>P. Klubowicz Prebook</t>
  </si>
  <si>
    <t>Wensleydale Av</t>
  </si>
  <si>
    <t>SO-2112</t>
  </si>
  <si>
    <t>Flat panels</t>
  </si>
  <si>
    <t>N1 5QJ</t>
  </si>
  <si>
    <t>Flat 9
28–36 Orsman Road
London
N1 5QJ
Victor +44 (0) 7979 368 584</t>
  </si>
  <si>
    <t>SO-2113</t>
  </si>
  <si>
    <t>Brackets &amp; Shims</t>
  </si>
  <si>
    <t>A.Szyposz &amp; W.Damski Prebook</t>
  </si>
  <si>
    <t>SO-2114</t>
  </si>
  <si>
    <t>SO-2115</t>
  </si>
  <si>
    <t>SO-2116</t>
  </si>
  <si>
    <t>Subframe -Brackets &amp; Top Hats</t>
  </si>
  <si>
    <t>SO-2117</t>
  </si>
  <si>
    <t>Block B HDPE Blocks</t>
  </si>
  <si>
    <t xml:space="preserve">BS14 1FZ </t>
  </si>
  <si>
    <t>MPB Facades Ltd
BoKlok Housing Site Office
Airport Road 
Bristol 
BS14 1FZ 
What3words/// Maple.bronze.corner
Martin 07725900420</t>
  </si>
  <si>
    <t>UB8 2XW</t>
  </si>
  <si>
    <t>Sarogirg Ltd
Wellington House 
4-10 Cowley Road 
Uxbridge 
UB8 2XW
Contact: Andrian 07438888813</t>
  </si>
  <si>
    <t>SO-2118</t>
  </si>
  <si>
    <t>Block B HDPE Blocks Prod. 2</t>
  </si>
  <si>
    <t>SO-2119</t>
  </si>
  <si>
    <t>DT96</t>
  </si>
  <si>
    <t>T-Rails</t>
  </si>
  <si>
    <t>SO-2120</t>
  </si>
  <si>
    <t>CW Brackets L5-7</t>
  </si>
  <si>
    <t>SO-2121</t>
  </si>
  <si>
    <t>Block C Copings</t>
  </si>
  <si>
    <t>SO-2122</t>
  </si>
  <si>
    <t>Block C Cladding</t>
  </si>
  <si>
    <t>SO-2123</t>
  </si>
  <si>
    <t>SO-2124</t>
  </si>
  <si>
    <t>CA2919</t>
  </si>
  <si>
    <t>Block B Panels</t>
  </si>
  <si>
    <t>Lancelote Pl (Lancaster Road)</t>
  </si>
  <si>
    <t>SO-2125</t>
  </si>
  <si>
    <t>Lancaster Road Panels</t>
  </si>
  <si>
    <t>W11 1QJ</t>
  </si>
  <si>
    <t>39 Lancaster Road
W11 1QJ
Noel +44 (0) 7580 181 106</t>
  </si>
  <si>
    <t>SO-2126</t>
  </si>
  <si>
    <t>Block B Flat Wall Panels</t>
  </si>
  <si>
    <t>SO-2127</t>
  </si>
  <si>
    <t>Plenums Prod. 2</t>
  </si>
  <si>
    <t>SO-2128</t>
  </si>
  <si>
    <t>PO00519</t>
  </si>
  <si>
    <t>Upstands</t>
  </si>
  <si>
    <t>1 – 8 Richmond Mews
Fordmill Road
London
SE6 3JH
Contact – Peter 07309 102159</t>
  </si>
  <si>
    <t>SO-2129</t>
  </si>
  <si>
    <t>Slatted Panel Tubes</t>
  </si>
  <si>
    <t>SO-2130</t>
  </si>
  <si>
    <t>CA2920</t>
  </si>
  <si>
    <t>Block B Panels Prod. 2</t>
  </si>
  <si>
    <t>SO-2131</t>
  </si>
  <si>
    <t>June Site</t>
  </si>
  <si>
    <t>SO-2132</t>
  </si>
  <si>
    <t>Gough Street</t>
  </si>
  <si>
    <t>SO-2133</t>
  </si>
  <si>
    <t>P1 Understructure</t>
  </si>
  <si>
    <t>McAleer &amp; Rushe Site
(For FCS Facades)
Gough Street
Birmingham, B1 1HN
Ruslan +44 (0) 7896 059 740</t>
  </si>
  <si>
    <t>SO-2134</t>
  </si>
  <si>
    <t>Additional Coping</t>
  </si>
  <si>
    <t>McAleer &amp; Rushe Contracts UK Ltd
(For FCS Facades)
Southbank Place, Building 5
Belvedere Road
Southbank SE1 7AF
Tom Plago 07889 215 253</t>
  </si>
  <si>
    <t>SO-2135</t>
  </si>
  <si>
    <t>Blk B Plenums</t>
  </si>
  <si>
    <t>Parts Delivery
Level 1 Priority</t>
  </si>
  <si>
    <t>SO-2136</t>
  </si>
  <si>
    <t>Blk A CW Brackets</t>
  </si>
  <si>
    <t>SO-2137</t>
  </si>
  <si>
    <t>CA2922</t>
  </si>
  <si>
    <t>Block B Panels Prod. 3</t>
  </si>
  <si>
    <t>SO-2138</t>
  </si>
  <si>
    <t>P2 Understructure</t>
  </si>
  <si>
    <t>SO-2139</t>
  </si>
  <si>
    <t>CW Spandrels &amp; Trays</t>
  </si>
  <si>
    <t>SO-2140</t>
  </si>
  <si>
    <t>G3&amp;G4 L0-3 Brackets</t>
  </si>
  <si>
    <t>SO-2141</t>
  </si>
  <si>
    <t>SO-2142</t>
  </si>
  <si>
    <t>SO-2143</t>
  </si>
  <si>
    <t>DT112</t>
  </si>
  <si>
    <t>SO-2144</t>
  </si>
  <si>
    <t>SO-2145</t>
  </si>
  <si>
    <t>SO-2146</t>
  </si>
  <si>
    <t>SO-2147</t>
  </si>
  <si>
    <t>SO-2148</t>
  </si>
  <si>
    <t>SO-2149</t>
  </si>
  <si>
    <t>SO-2150</t>
  </si>
  <si>
    <t>SO-2152</t>
  </si>
  <si>
    <t>Various</t>
  </si>
  <si>
    <t>SO-2153</t>
  </si>
  <si>
    <t>DT127</t>
  </si>
  <si>
    <t>Block B Panels Prod. 4</t>
  </si>
  <si>
    <t>SO-2154</t>
  </si>
  <si>
    <t>Block B Copings</t>
  </si>
  <si>
    <t>SO-2155</t>
  </si>
  <si>
    <t>Additional Plenums</t>
  </si>
  <si>
    <t>White Lodge</t>
  </si>
  <si>
    <t>SO-2156</t>
  </si>
  <si>
    <t>CM.9662.0539</t>
  </si>
  <si>
    <t>Spigot plates and brackets</t>
  </si>
  <si>
    <t>NR4 6DG</t>
  </si>
  <si>
    <t>Unit 45 
White Lodge Trading Estate 
NR4 6DG
Chris Mann +44 (0) 1603 327 373</t>
  </si>
  <si>
    <t>SO-2157</t>
  </si>
  <si>
    <t>Window Brackets</t>
  </si>
  <si>
    <t>SO-2158</t>
  </si>
  <si>
    <t>Curved Wall Profiles &amp; 009</t>
  </si>
  <si>
    <t>SO-2159</t>
  </si>
  <si>
    <t>Elm Lane Fire Station</t>
  </si>
  <si>
    <t>SO-2160</t>
  </si>
  <si>
    <t xml:space="preserve"> P1115 - 1006</t>
  </si>
  <si>
    <t>Framing</t>
  </si>
  <si>
    <t xml:space="preserve"> O&amp;P Construction Ltd (Sparta Clad)
Elm Lane Fire Station 
Sheffield
S5 7TW
Gavin Bailey 07719711503</t>
  </si>
  <si>
    <t>SO-2161</t>
  </si>
  <si>
    <t>Wellington House</t>
  </si>
  <si>
    <t>SO-2162</t>
  </si>
  <si>
    <t>Claddings</t>
  </si>
  <si>
    <t>SO-2163</t>
  </si>
  <si>
    <t>Block C Additions Copings</t>
  </si>
  <si>
    <t>SO-2164</t>
  </si>
  <si>
    <t>Daniele Squarci &amp; Luisella Quirito</t>
  </si>
  <si>
    <t>Bifold Door Factory Ltd.
, Bingley The Common
, West Drayton, 
UB7 7HQ
Contact: Contact: Harj +44 (0) 7951 893 719</t>
  </si>
  <si>
    <t>SO-2165</t>
  </si>
  <si>
    <t>Projection Window</t>
  </si>
  <si>
    <t>8A Harleyford Street
Oval
London
SE11 5SY
Cristi +44 (0)7743 949 805</t>
  </si>
  <si>
    <t>Kings Road Park</t>
  </si>
  <si>
    <t>SO-2166</t>
  </si>
  <si>
    <t>SO-2167</t>
  </si>
  <si>
    <t>Spandrels Block A CW</t>
  </si>
  <si>
    <t>SO-2168</t>
  </si>
  <si>
    <t>SO-2169</t>
  </si>
  <si>
    <t>SO-2170</t>
  </si>
  <si>
    <t>SO-2171</t>
  </si>
  <si>
    <t>Additional Top Hats L5&amp;L6</t>
  </si>
  <si>
    <t>Colonnade Soffit Panels</t>
  </si>
  <si>
    <t xml:space="preserve">Windows Plenums </t>
  </si>
  <si>
    <t>DT155</t>
  </si>
  <si>
    <t>SO-2172</t>
  </si>
  <si>
    <t>HM0321</t>
  </si>
  <si>
    <t>PO58325-927-KRP</t>
  </si>
  <si>
    <t>09/06/2026
11:09</t>
  </si>
  <si>
    <t>76d11:Sparta Clad0</t>
  </si>
  <si>
    <t>097
11:01</t>
  </si>
  <si>
    <t>8C-11:i2</t>
  </si>
  <si>
    <t>091
11:03</t>
  </si>
  <si>
    <t xml:space="preserve">   1Ce11:04</t>
  </si>
  <si>
    <t>1
11:05</t>
  </si>
  <si>
    <t xml:space="preserve"> Pu11:06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</si>
</sst>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Tahoma"/>
      <family val="2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8" fillId="4" borderId="0" applyNumberFormat="0" applyBorder="0" applyAlignment="0" applyProtection="0"/>
  </cellStyleXfs>
  <cellXfs count="39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9" fontId="6" fillId="0" borderId="0" xfId="0" applyNumberFormat="1" applyFont="1" applyAlignment="1">
      <alignment horizontal="center" vertical="center" wrapText="1"/>
    </xf>
    <xf numFmtId="0" fontId="7" fillId="0" borderId="0" xfId="0" applyFont="1"/>
    <xf numFmtId="0" fontId="0" fillId="0" borderId="4" xfId="0" applyBorder="1" applyAlignment="1">
      <alignment horizontal="center" vertical="center"/>
    </xf>
    <xf numFmtId="9" fontId="6" fillId="2" borderId="4" xfId="0" applyNumberFormat="1" applyFont="1" applyFill="1" applyBorder="1" applyAlignment="1">
      <alignment horizontal="center" vertical="center"/>
    </xf>
    <xf numFmtId="0" fontId="8" fillId="4" borderId="0" xfId="1" applyAlignment="1">
      <alignment horizontal="left" vertical="center" wrapText="1"/>
    </xf>
  </cellXfs>
  <cellStyles count="2">
    <cellStyle name="Neutral" xfId="1" builtinId="28"/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Q100" totalsRowShown="0" headerRowDxfId="18" dataDxfId="17">
  <autoFilter ref="A1:Q100" xr:uid="{D238CE20-76DC-4853-9E42-BB88690E3CED}"/>
  <tableColumns count="17">
    <tableColumn id="1" xr3:uid="{867090DC-1FE0-4EF0-A0C0-448920317853}" name="Project" dataDxfId="16"/>
    <tableColumn id="2" xr3:uid="{ED71812C-E204-4FE0-ADEA-0CD9B3ADA2A3}" name="Project SO" dataDxfId="15"/>
    <tableColumn id="3" xr3:uid="{32502B80-458D-4EF6-9ABC-03678A6F8302}" name="order_id" dataDxfId="14"/>
    <tableColumn id="4" xr3:uid="{111DD528-EE5F-4D8B-B63F-9A842570498D}" name="Materials" dataDxfId="13"/>
    <tableColumn id="5" xr3:uid="{F88C7351-33D9-47AC-88E6-09F8FC43FCF9}" name="status" dataDxfId="12"/>
    <tableColumn id="6" xr3:uid="{AF541036-9D61-4BFA-9B88-B69C899AAAFF}" name="Phase" dataDxfId="11"/>
    <tableColumn id="7" xr3:uid="{3C9800BD-A315-48D1-9DB1-AF15B6CE2464}" name="Post Code" dataDxfId="10"/>
    <tableColumn id="8" xr3:uid="{35381005-95B2-4E9D-9D09-3585A5DE3E35}" name="Delivery Address" dataDxfId="9"/>
    <tableColumn id="9" xr3:uid="{21A0DBD3-20BC-48FA-8FF6-DB3AFE9382A5}" name="PO Date" dataDxfId="8"/>
    <tableColumn id="10" xr3:uid="{3F0B7287-A10E-4CE5-9A48-B72BC577D0D0}" name="Estimated Delivery Date" dataDxfId="7"/>
    <tableColumn id="11" xr3:uid="{D53CD43D-3F51-4446-BA3F-C95DF42223C1}" name="Current Update" dataDxfId="6">
      <calculatedColumnFormula>AVERAGE(L2:N2)</calculatedColumnFormula>
    </tableColumn>
    <tableColumn id="12" xr3:uid="{6527AB69-9477-41B6-8941-2FE273E12275}" name="Production" dataDxfId="5"/>
    <tableColumn id="13" xr3:uid="{6436B5E8-E98E-47E2-B70D-DD9AA467C3A5}" name="PPC" dataDxfId="4"/>
    <tableColumn id="14" xr3:uid="{D893399C-2909-4B8A-9538-32D22CFA1B25}" name="Dispatch" dataDxfId="3"/>
    <tableColumn id="15" xr3:uid="{F6302424-51FB-45BD-9F34-61C700C8D161}" name="Welded" dataDxfId="2"/>
    <tableColumn id="16" xr3:uid="{9BE99484-0D9D-4749-B30B-7C533699CF52}" name="Critical Information" dataDxfId="1"/>
    <tableColumn id="17" xr3:uid="{294DD3E6-5EEC-42DD-AE99-1AC9AB8E1DEE}" name="timestam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Q100"/>
  <sheetViews>
    <sheetView tabSelected="1" zoomScale="85" zoomScaleNormal="85" workbookViewId="0">
      <pane ySplit="1" topLeftCell="A83" activePane="bottomLeft" state="frozen"/>
      <selection pane="bottomLeft" activeCell="Q87" sqref="Q87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  <col min="17" max="17" width="15.5703125" bestFit="1" customWidth="1"/>
  </cols>
  <sheetData>
    <row r="1" spans="1:17" s="12" customFormat="1" x14ac:dyDescent="0.25">
      <c r="A1" s="12" t="s">
        <v>36</v>
      </c>
      <c r="B1" s="12" t="s">
        <v>35</v>
      </c>
      <c r="C1" s="12" t="s">
        <v>289</v>
      </c>
      <c r="D1" s="12" t="s">
        <v>33</v>
      </c>
      <c r="E1" s="12" t="s">
        <v>290</v>
      </c>
      <c r="F1" s="13" t="s">
        <v>31</v>
      </c>
      <c r="G1" s="12" t="s">
        <v>30</v>
      </c>
      <c r="H1" s="12" t="s">
        <v>292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267</v>
      </c>
      <c r="Q1" s="12" t="s">
        <v>291</v>
      </c>
    </row>
    <row r="2" spans="1:17" ht="75" x14ac:dyDescent="0.25">
      <c r="A2" s="12" t="s">
        <v>51</v>
      </c>
      <c r="B2" s="12" t="s">
        <v>303</v>
      </c>
      <c r="C2" s="15">
        <v>2940</v>
      </c>
      <c r="D2" s="12" t="s">
        <v>304</v>
      </c>
      <c r="E2" s="36" t="s">
        <v>3</v>
      </c>
      <c r="F2" s="12"/>
      <c r="G2" s="12" t="s">
        <v>53</v>
      </c>
      <c r="H2" s="24" t="s">
        <v>281</v>
      </c>
      <c r="I2" s="14"/>
      <c r="J2" s="14"/>
      <c r="K2" s="37">
        <f t="shared" ref="K2:K25" si="0">AVERAGE(L2:N2)</f>
        <v>3.3333333333333335E-3</v>
      </c>
      <c r="L2" s="37">
        <v>0.01</v>
      </c>
      <c r="M2" s="37">
        <v>0</v>
      </c>
      <c r="N2" s="37">
        <v>0</v>
      </c>
      <c r="P2" s="16"/>
      <c r="Q2" s="16"/>
    </row>
    <row r="3" spans="1:17" ht="60" x14ac:dyDescent="0.25">
      <c r="A3" s="12" t="s">
        <v>301</v>
      </c>
      <c r="B3" s="12" t="s">
        <v>305</v>
      </c>
      <c r="C3" s="15">
        <v>5321</v>
      </c>
      <c r="D3" s="12" t="s">
        <v>306</v>
      </c>
      <c r="E3" s="36" t="s">
        <v>3</v>
      </c>
      <c r="F3" s="12"/>
      <c r="G3" s="12" t="s">
        <v>127</v>
      </c>
      <c r="H3" s="24" t="s">
        <v>302</v>
      </c>
      <c r="I3" s="14"/>
      <c r="J3" s="14"/>
      <c r="K3" s="37">
        <f t="shared" si="0"/>
        <v>3.3333333333333335E-3</v>
      </c>
      <c r="L3" s="37">
        <v>0.01</v>
      </c>
      <c r="M3" s="37">
        <v>0</v>
      </c>
      <c r="N3" s="37">
        <v>0</v>
      </c>
      <c r="P3" s="16"/>
      <c r="Q3" s="16"/>
    </row>
    <row r="4" spans="1:17" ht="90" x14ac:dyDescent="0.25">
      <c r="A4" s="12" t="s">
        <v>307</v>
      </c>
      <c r="B4" s="12" t="s">
        <v>308</v>
      </c>
      <c r="C4" s="15">
        <v>2946</v>
      </c>
      <c r="D4" s="12" t="s">
        <v>309</v>
      </c>
      <c r="E4" s="36" t="s">
        <v>3</v>
      </c>
      <c r="F4" s="12"/>
      <c r="G4" s="12" t="s">
        <v>310</v>
      </c>
      <c r="H4" s="24" t="s">
        <v>311</v>
      </c>
      <c r="I4" s="14"/>
      <c r="J4" s="14"/>
      <c r="K4" s="37">
        <f t="shared" si="0"/>
        <v>3.3333333333333335E-3</v>
      </c>
      <c r="L4" s="37">
        <v>0.01</v>
      </c>
      <c r="M4" s="37">
        <v>0</v>
      </c>
      <c r="N4" s="37">
        <v>0</v>
      </c>
      <c r="P4" s="16"/>
      <c r="Q4" s="16"/>
    </row>
    <row r="5" spans="1:17" ht="90" x14ac:dyDescent="0.25">
      <c r="A5" s="12" t="s">
        <v>91</v>
      </c>
      <c r="B5" s="12" t="s">
        <v>312</v>
      </c>
      <c r="C5" s="15">
        <v>2963</v>
      </c>
      <c r="D5" s="12" t="s">
        <v>313</v>
      </c>
      <c r="E5" s="36" t="s">
        <v>3</v>
      </c>
      <c r="F5" s="12"/>
      <c r="G5" s="12" t="s">
        <v>157</v>
      </c>
      <c r="H5" s="24" t="s">
        <v>288</v>
      </c>
      <c r="I5" s="14"/>
      <c r="J5" s="14"/>
      <c r="K5" s="37">
        <f t="shared" si="0"/>
        <v>3.3333333333333335E-3</v>
      </c>
      <c r="L5" s="37">
        <v>0.01</v>
      </c>
      <c r="M5" s="37">
        <v>0</v>
      </c>
      <c r="N5" s="37">
        <v>0</v>
      </c>
      <c r="P5" s="16"/>
      <c r="Q5" s="34" t="s">
        <v>297</v>
      </c>
    </row>
    <row r="6" spans="1:17" ht="90" x14ac:dyDescent="0.25">
      <c r="A6" s="12" t="s">
        <v>314</v>
      </c>
      <c r="B6" s="12" t="s">
        <v>315</v>
      </c>
      <c r="C6" s="15">
        <v>2978</v>
      </c>
      <c r="D6" s="12" t="s">
        <v>316</v>
      </c>
      <c r="E6" s="36" t="s">
        <v>3</v>
      </c>
      <c r="F6" s="12"/>
      <c r="G6" s="12" t="s">
        <v>317</v>
      </c>
      <c r="H6" s="24" t="s">
        <v>318</v>
      </c>
      <c r="I6" s="14"/>
      <c r="J6" s="14"/>
      <c r="K6" s="37">
        <f t="shared" si="0"/>
        <v>3.3333333333333335E-3</v>
      </c>
      <c r="L6" s="37">
        <v>0.01</v>
      </c>
      <c r="M6" s="37">
        <v>0</v>
      </c>
      <c r="N6" s="37">
        <v>0</v>
      </c>
      <c r="O6" s="12" t="s">
        <v>188</v>
      </c>
      <c r="P6" s="16"/>
      <c r="Q6" s="34" t="s">
        <v>297</v>
      </c>
    </row>
    <row r="7" spans="1:17" ht="75" x14ac:dyDescent="0.25">
      <c r="A7" s="12" t="s">
        <v>319</v>
      </c>
      <c r="B7" s="12" t="s">
        <v>320</v>
      </c>
      <c r="C7" s="15" t="s">
        <v>321</v>
      </c>
      <c r="D7" s="12" t="s">
        <v>87</v>
      </c>
      <c r="E7" s="36" t="s">
        <v>3</v>
      </c>
      <c r="F7" s="12"/>
      <c r="G7" s="12" t="s">
        <v>322</v>
      </c>
      <c r="H7" s="24" t="s">
        <v>323</v>
      </c>
      <c r="I7" s="14"/>
      <c r="J7" s="14"/>
      <c r="K7" s="37">
        <f t="shared" si="0"/>
        <v>3.3333333333333335E-3</v>
      </c>
      <c r="L7" s="37">
        <v>0.01</v>
      </c>
      <c r="M7" s="37">
        <v>0</v>
      </c>
      <c r="N7" s="37">
        <v>0</v>
      </c>
      <c r="P7" s="16"/>
      <c r="Q7" s="34" t="s">
        <v>297</v>
      </c>
    </row>
    <row r="8" spans="1:17" ht="75" x14ac:dyDescent="0.25">
      <c r="A8" s="12" t="s">
        <v>51</v>
      </c>
      <c r="B8" s="12" t="s">
        <v>324</v>
      </c>
      <c r="C8" s="15">
        <v>2976</v>
      </c>
      <c r="D8" s="12" t="s">
        <v>325</v>
      </c>
      <c r="E8" s="36" t="s">
        <v>3</v>
      </c>
      <c r="F8" s="12"/>
      <c r="G8" s="12" t="s">
        <v>53</v>
      </c>
      <c r="H8" s="24" t="s">
        <v>281</v>
      </c>
      <c r="I8" s="14"/>
      <c r="J8" s="14"/>
      <c r="K8" s="37">
        <f t="shared" si="0"/>
        <v>3.3333333333333335E-3</v>
      </c>
      <c r="L8" s="37">
        <v>0.01</v>
      </c>
      <c r="M8" s="37">
        <v>0</v>
      </c>
      <c r="N8" s="37">
        <v>0</v>
      </c>
      <c r="P8" s="16"/>
      <c r="Q8" s="34" t="s">
        <v>297</v>
      </c>
    </row>
    <row r="9" spans="1:17" ht="90" x14ac:dyDescent="0.25">
      <c r="A9" s="12" t="s">
        <v>91</v>
      </c>
      <c r="B9" s="12" t="s">
        <v>326</v>
      </c>
      <c r="C9" s="15">
        <v>2986</v>
      </c>
      <c r="D9" s="12" t="s">
        <v>327</v>
      </c>
      <c r="E9" s="36" t="s">
        <v>3</v>
      </c>
      <c r="F9" s="12"/>
      <c r="G9" s="12" t="s">
        <v>157</v>
      </c>
      <c r="H9" s="24" t="s">
        <v>288</v>
      </c>
      <c r="I9" s="14"/>
      <c r="J9" s="14"/>
      <c r="K9" s="37">
        <f t="shared" si="0"/>
        <v>3.3333333333333335E-3</v>
      </c>
      <c r="L9" s="37">
        <v>0.01</v>
      </c>
      <c r="M9" s="37">
        <v>0</v>
      </c>
      <c r="N9" s="37">
        <v>0</v>
      </c>
      <c r="O9" s="12" t="s">
        <v>188</v>
      </c>
      <c r="P9" s="16"/>
      <c r="Q9" s="34" t="s">
        <v>297</v>
      </c>
    </row>
    <row r="10" spans="1:17" ht="90" x14ac:dyDescent="0.25">
      <c r="A10" s="12" t="s">
        <v>275</v>
      </c>
      <c r="B10" s="12" t="s">
        <v>328</v>
      </c>
      <c r="C10" s="15" t="s">
        <v>329</v>
      </c>
      <c r="D10" s="12" t="s">
        <v>330</v>
      </c>
      <c r="E10" s="36" t="s">
        <v>3</v>
      </c>
      <c r="F10" s="12"/>
      <c r="G10" s="12" t="s">
        <v>277</v>
      </c>
      <c r="H10" s="24" t="s">
        <v>276</v>
      </c>
      <c r="I10" s="14"/>
      <c r="J10" s="14"/>
      <c r="K10" s="37">
        <f t="shared" si="0"/>
        <v>3.3333333333333335E-3</v>
      </c>
      <c r="L10" s="37">
        <v>0.01</v>
      </c>
      <c r="M10" s="37">
        <v>0</v>
      </c>
      <c r="N10" s="37">
        <v>0</v>
      </c>
      <c r="O10" s="12" t="s">
        <v>188</v>
      </c>
      <c r="P10" s="16"/>
      <c r="Q10" s="34" t="s">
        <v>297</v>
      </c>
    </row>
    <row r="11" spans="1:17" ht="90" x14ac:dyDescent="0.25">
      <c r="A11" s="12" t="s">
        <v>275</v>
      </c>
      <c r="B11" s="12" t="s">
        <v>331</v>
      </c>
      <c r="C11" s="15" t="s">
        <v>332</v>
      </c>
      <c r="D11" s="12" t="s">
        <v>333</v>
      </c>
      <c r="E11" s="36" t="s">
        <v>3</v>
      </c>
      <c r="F11" s="12"/>
      <c r="G11" s="12" t="s">
        <v>277</v>
      </c>
      <c r="H11" s="24" t="s">
        <v>276</v>
      </c>
      <c r="I11" s="14"/>
      <c r="J11" s="14"/>
      <c r="K11" s="37">
        <f t="shared" si="0"/>
        <v>3.3333333333333335E-3</v>
      </c>
      <c r="L11" s="37">
        <v>0.01</v>
      </c>
      <c r="M11" s="37">
        <v>0</v>
      </c>
      <c r="N11" s="37">
        <v>0</v>
      </c>
      <c r="P11" s="16"/>
      <c r="Q11" s="34" t="s">
        <v>297</v>
      </c>
    </row>
    <row r="12" spans="1:17" ht="75" x14ac:dyDescent="0.25">
      <c r="A12" s="12" t="s">
        <v>334</v>
      </c>
      <c r="B12" s="12" t="s">
        <v>335</v>
      </c>
      <c r="C12" s="15" t="s">
        <v>336</v>
      </c>
      <c r="D12" s="12" t="s">
        <v>287</v>
      </c>
      <c r="E12" s="36" t="s">
        <v>3</v>
      </c>
      <c r="F12" s="12"/>
      <c r="G12" s="12" t="s">
        <v>337</v>
      </c>
      <c r="H12" s="2" t="s">
        <v>338</v>
      </c>
      <c r="I12" s="14"/>
      <c r="J12" s="14"/>
      <c r="K12" s="37">
        <f t="shared" si="0"/>
        <v>3.3333333333333335E-3</v>
      </c>
      <c r="L12" s="37">
        <v>0.01</v>
      </c>
      <c r="M12" s="37">
        <v>0</v>
      </c>
      <c r="N12" s="37">
        <v>0</v>
      </c>
      <c r="P12" s="16"/>
      <c r="Q12" s="34" t="s">
        <v>297</v>
      </c>
    </row>
    <row r="13" spans="1:17" ht="90" x14ac:dyDescent="0.25">
      <c r="A13" s="12" t="s">
        <v>282</v>
      </c>
      <c r="B13" s="12" t="s">
        <v>339</v>
      </c>
      <c r="C13" s="15">
        <v>3023</v>
      </c>
      <c r="D13" s="12" t="s">
        <v>340</v>
      </c>
      <c r="E13" s="36" t="s">
        <v>3</v>
      </c>
      <c r="F13" s="12"/>
      <c r="G13" s="12" t="s">
        <v>283</v>
      </c>
      <c r="H13" s="24" t="s">
        <v>284</v>
      </c>
      <c r="I13" s="14"/>
      <c r="J13" s="14"/>
      <c r="K13" s="37">
        <f t="shared" si="0"/>
        <v>3.3333333333333335E-3</v>
      </c>
      <c r="L13" s="37">
        <v>0.01</v>
      </c>
      <c r="M13" s="37">
        <v>0</v>
      </c>
      <c r="N13" s="37">
        <v>0</v>
      </c>
      <c r="O13" s="12" t="s">
        <v>188</v>
      </c>
      <c r="P13" s="16"/>
      <c r="Q13" s="34" t="s">
        <v>297</v>
      </c>
    </row>
    <row r="14" spans="1:17" ht="90" x14ac:dyDescent="0.25">
      <c r="A14" s="12" t="s">
        <v>314</v>
      </c>
      <c r="B14" s="12" t="s">
        <v>341</v>
      </c>
      <c r="C14" s="15">
        <v>3030</v>
      </c>
      <c r="D14" s="12" t="s">
        <v>342</v>
      </c>
      <c r="E14" s="36" t="s">
        <v>3</v>
      </c>
      <c r="F14" s="12"/>
      <c r="G14" s="12" t="s">
        <v>317</v>
      </c>
      <c r="H14" s="24" t="s">
        <v>318</v>
      </c>
      <c r="I14" s="14"/>
      <c r="J14" s="14"/>
      <c r="K14" s="37">
        <f t="shared" si="0"/>
        <v>3.3333333333333335E-3</v>
      </c>
      <c r="L14" s="37">
        <v>0.01</v>
      </c>
      <c r="M14" s="37">
        <v>0</v>
      </c>
      <c r="N14" s="37">
        <v>0</v>
      </c>
      <c r="P14" s="16"/>
      <c r="Q14" s="34" t="s">
        <v>297</v>
      </c>
    </row>
    <row r="15" spans="1:17" ht="90" x14ac:dyDescent="0.25">
      <c r="A15" s="12" t="s">
        <v>261</v>
      </c>
      <c r="B15" s="12" t="s">
        <v>343</v>
      </c>
      <c r="C15" s="15" t="s">
        <v>344</v>
      </c>
      <c r="D15" s="12" t="s">
        <v>151</v>
      </c>
      <c r="E15" s="36" t="s">
        <v>3</v>
      </c>
      <c r="F15" s="12"/>
      <c r="G15" s="12" t="s">
        <v>286</v>
      </c>
      <c r="H15" s="24" t="s">
        <v>285</v>
      </c>
      <c r="I15" s="14"/>
      <c r="J15" s="14"/>
      <c r="K15" s="37">
        <f t="shared" si="0"/>
        <v>3.3333333333333335E-3</v>
      </c>
      <c r="L15" s="37">
        <v>0.01</v>
      </c>
      <c r="M15" s="37">
        <v>0</v>
      </c>
      <c r="N15" s="37">
        <v>0</v>
      </c>
      <c r="P15" s="16"/>
      <c r="Q15" s="34" t="s">
        <v>297</v>
      </c>
    </row>
    <row r="16" spans="1:17" ht="60" x14ac:dyDescent="0.25">
      <c r="A16" s="12" t="s">
        <v>301</v>
      </c>
      <c r="B16" s="12" t="s">
        <v>345</v>
      </c>
      <c r="C16" s="15">
        <v>5333</v>
      </c>
      <c r="D16" s="12" t="s">
        <v>346</v>
      </c>
      <c r="E16" s="36" t="s">
        <v>3</v>
      </c>
      <c r="F16" s="12"/>
      <c r="G16" s="12" t="s">
        <v>127</v>
      </c>
      <c r="H16" s="24" t="s">
        <v>302</v>
      </c>
      <c r="I16" s="14"/>
      <c r="J16" s="14"/>
      <c r="K16" s="37">
        <f t="shared" si="0"/>
        <v>3.3333333333333335E-3</v>
      </c>
      <c r="L16" s="37">
        <v>0.01</v>
      </c>
      <c r="M16" s="37">
        <v>0</v>
      </c>
      <c r="N16" s="37">
        <v>0</v>
      </c>
      <c r="P16" s="16"/>
      <c r="Q16" s="34" t="s">
        <v>297</v>
      </c>
    </row>
    <row r="17" spans="1:17" ht="60" x14ac:dyDescent="0.25">
      <c r="A17" s="12" t="s">
        <v>301</v>
      </c>
      <c r="B17" s="12" t="s">
        <v>347</v>
      </c>
      <c r="C17" s="15">
        <v>5333</v>
      </c>
      <c r="D17" s="12" t="s">
        <v>348</v>
      </c>
      <c r="E17" s="36" t="s">
        <v>3</v>
      </c>
      <c r="F17" s="12"/>
      <c r="G17" s="12" t="s">
        <v>127</v>
      </c>
      <c r="H17" s="24" t="s">
        <v>302</v>
      </c>
      <c r="I17" s="14"/>
      <c r="J17" s="14"/>
      <c r="K17" s="37">
        <f t="shared" si="0"/>
        <v>3.3333333333333335E-3</v>
      </c>
      <c r="L17" s="37">
        <v>0.01</v>
      </c>
      <c r="M17" s="37">
        <v>0</v>
      </c>
      <c r="N17" s="37">
        <v>0</v>
      </c>
      <c r="P17" s="16"/>
      <c r="Q17" s="34" t="s">
        <v>297</v>
      </c>
    </row>
    <row r="18" spans="1:17" ht="75" x14ac:dyDescent="0.25">
      <c r="A18" s="12" t="s">
        <v>255</v>
      </c>
      <c r="B18" s="12" t="s">
        <v>349</v>
      </c>
      <c r="C18" s="15">
        <v>3044</v>
      </c>
      <c r="D18" s="12" t="s">
        <v>350</v>
      </c>
      <c r="E18" s="36" t="s">
        <v>3</v>
      </c>
      <c r="F18" s="12"/>
      <c r="G18" s="12" t="s">
        <v>155</v>
      </c>
      <c r="H18" s="24" t="s">
        <v>279</v>
      </c>
      <c r="I18" s="14"/>
      <c r="J18" s="14"/>
      <c r="K18" s="37">
        <f t="shared" si="0"/>
        <v>3.3333333333333335E-3</v>
      </c>
      <c r="L18" s="37">
        <v>0.01</v>
      </c>
      <c r="M18" s="37">
        <v>0</v>
      </c>
      <c r="N18" s="37">
        <v>0</v>
      </c>
      <c r="P18" s="16" t="s">
        <v>351</v>
      </c>
      <c r="Q18" s="34" t="s">
        <v>297</v>
      </c>
    </row>
    <row r="19" spans="1:17" ht="75" x14ac:dyDescent="0.25">
      <c r="A19" s="12" t="s">
        <v>352</v>
      </c>
      <c r="B19" s="12" t="s">
        <v>353</v>
      </c>
      <c r="C19" s="15" t="s">
        <v>354</v>
      </c>
      <c r="D19" s="12" t="s">
        <v>355</v>
      </c>
      <c r="E19" s="36" t="s">
        <v>3</v>
      </c>
      <c r="F19" s="12"/>
      <c r="G19" s="12" t="s">
        <v>356</v>
      </c>
      <c r="H19" s="24" t="s">
        <v>357</v>
      </c>
      <c r="I19" s="14"/>
      <c r="J19" s="14"/>
      <c r="K19" s="37">
        <f t="shared" si="0"/>
        <v>3.3333333333333335E-3</v>
      </c>
      <c r="L19" s="37">
        <v>0.01</v>
      </c>
      <c r="M19" s="37">
        <v>0</v>
      </c>
      <c r="N19" s="37">
        <v>0</v>
      </c>
      <c r="P19" s="16"/>
      <c r="Q19" s="34" t="s">
        <v>297</v>
      </c>
    </row>
    <row r="20" spans="1:17" ht="75" x14ac:dyDescent="0.25">
      <c r="A20" s="12" t="s">
        <v>255</v>
      </c>
      <c r="B20" s="12" t="s">
        <v>358</v>
      </c>
      <c r="C20" s="15">
        <v>3090</v>
      </c>
      <c r="D20" s="12" t="s">
        <v>359</v>
      </c>
      <c r="E20" s="36" t="s">
        <v>3</v>
      </c>
      <c r="F20" s="12"/>
      <c r="G20" s="12" t="s">
        <v>155</v>
      </c>
      <c r="H20" s="24" t="s">
        <v>279</v>
      </c>
      <c r="I20" s="14"/>
      <c r="J20" s="14"/>
      <c r="K20" s="37">
        <f t="shared" si="0"/>
        <v>3.3333333333333335E-3</v>
      </c>
      <c r="L20" s="37">
        <v>0.01</v>
      </c>
      <c r="M20" s="37">
        <v>0</v>
      </c>
      <c r="N20" s="37">
        <v>0</v>
      </c>
      <c r="O20" s="12" t="s">
        <v>188</v>
      </c>
      <c r="P20" s="16"/>
      <c r="Q20" s="34" t="s">
        <v>297</v>
      </c>
    </row>
    <row r="21" spans="1:17" ht="75" x14ac:dyDescent="0.25">
      <c r="A21" s="12" t="s">
        <v>255</v>
      </c>
      <c r="B21" s="12" t="s">
        <v>360</v>
      </c>
      <c r="C21" s="15">
        <v>3096</v>
      </c>
      <c r="D21" s="12" t="s">
        <v>78</v>
      </c>
      <c r="E21" s="36" t="s">
        <v>3</v>
      </c>
      <c r="F21" s="12"/>
      <c r="G21" s="12" t="s">
        <v>155</v>
      </c>
      <c r="H21" s="24" t="s">
        <v>279</v>
      </c>
      <c r="I21" s="14"/>
      <c r="J21" s="14"/>
      <c r="K21" s="37">
        <f t="shared" si="0"/>
        <v>3.3333333333333335E-3</v>
      </c>
      <c r="L21" s="37">
        <v>0.01</v>
      </c>
      <c r="M21" s="37">
        <v>0</v>
      </c>
      <c r="N21" s="37">
        <v>0</v>
      </c>
      <c r="P21" s="16"/>
      <c r="Q21" s="34" t="s">
        <v>297</v>
      </c>
    </row>
    <row r="22" spans="1:17" ht="90" x14ac:dyDescent="0.25">
      <c r="A22" s="12" t="s">
        <v>261</v>
      </c>
      <c r="B22" s="12" t="s">
        <v>361</v>
      </c>
      <c r="C22" s="15" t="s">
        <v>362</v>
      </c>
      <c r="D22" s="12" t="s">
        <v>363</v>
      </c>
      <c r="E22" s="36" t="s">
        <v>3</v>
      </c>
      <c r="F22" s="12"/>
      <c r="G22" s="12" t="s">
        <v>286</v>
      </c>
      <c r="H22" s="24" t="s">
        <v>285</v>
      </c>
      <c r="I22" s="14"/>
      <c r="J22" s="14"/>
      <c r="K22" s="37">
        <f t="shared" si="0"/>
        <v>3.3333333333333335E-3</v>
      </c>
      <c r="L22" s="37">
        <v>0.01</v>
      </c>
      <c r="M22" s="37">
        <v>0</v>
      </c>
      <c r="N22" s="37">
        <v>0</v>
      </c>
      <c r="P22" s="16"/>
      <c r="Q22" s="34" t="s">
        <v>297</v>
      </c>
    </row>
    <row r="23" spans="1:17" ht="75" x14ac:dyDescent="0.25">
      <c r="A23" s="12" t="s">
        <v>364</v>
      </c>
      <c r="B23" s="12" t="s">
        <v>365</v>
      </c>
      <c r="C23" s="15">
        <v>10001</v>
      </c>
      <c r="D23" s="12" t="s">
        <v>366</v>
      </c>
      <c r="E23" s="36" t="s">
        <v>3</v>
      </c>
      <c r="F23" s="12"/>
      <c r="G23" s="12" t="s">
        <v>367</v>
      </c>
      <c r="H23" s="24" t="s">
        <v>368</v>
      </c>
      <c r="I23" s="14"/>
      <c r="J23" s="14"/>
      <c r="K23" s="37">
        <f t="shared" si="0"/>
        <v>3.3333333333333335E-3</v>
      </c>
      <c r="L23" s="37">
        <v>0.01</v>
      </c>
      <c r="M23" s="37">
        <v>0</v>
      </c>
      <c r="N23" s="37">
        <v>0</v>
      </c>
      <c r="P23" s="16"/>
      <c r="Q23" s="34" t="s">
        <v>297</v>
      </c>
    </row>
    <row r="24" spans="1:17" ht="75" x14ac:dyDescent="0.25">
      <c r="A24" s="12" t="s">
        <v>364</v>
      </c>
      <c r="B24" s="12" t="s">
        <v>369</v>
      </c>
      <c r="C24" s="15">
        <v>10001</v>
      </c>
      <c r="D24" s="12" t="s">
        <v>370</v>
      </c>
      <c r="E24" s="36" t="s">
        <v>3</v>
      </c>
      <c r="F24" s="12"/>
      <c r="G24" s="12" t="s">
        <v>367</v>
      </c>
      <c r="H24" s="24" t="s">
        <v>368</v>
      </c>
      <c r="I24" s="14"/>
      <c r="J24" s="14"/>
      <c r="K24" s="37">
        <f t="shared" si="0"/>
        <v>3.3333333333333335E-3</v>
      </c>
      <c r="L24" s="37">
        <v>0.01</v>
      </c>
      <c r="M24" s="37">
        <v>0</v>
      </c>
      <c r="N24" s="37">
        <v>0</v>
      </c>
      <c r="P24" s="16"/>
      <c r="Q24" s="34" t="s">
        <v>297</v>
      </c>
    </row>
    <row r="25" spans="1:17" ht="90" x14ac:dyDescent="0.25">
      <c r="A25" s="12" t="s">
        <v>371</v>
      </c>
      <c r="B25" s="12" t="s">
        <v>372</v>
      </c>
      <c r="C25" s="15">
        <v>3107</v>
      </c>
      <c r="D25" s="12" t="s">
        <v>373</v>
      </c>
      <c r="E25" s="36" t="s">
        <v>3</v>
      </c>
      <c r="F25" s="12"/>
      <c r="G25" s="12" t="s">
        <v>374</v>
      </c>
      <c r="H25" s="24" t="s">
        <v>375</v>
      </c>
      <c r="I25" s="14"/>
      <c r="J25" s="14"/>
      <c r="K25" s="37">
        <f t="shared" si="0"/>
        <v>3.3333333333333335E-3</v>
      </c>
      <c r="L25" s="37">
        <v>0.01</v>
      </c>
      <c r="M25" s="37">
        <v>0</v>
      </c>
      <c r="N25" s="37">
        <v>0</v>
      </c>
      <c r="P25" s="16"/>
      <c r="Q25" s="34" t="s">
        <v>297</v>
      </c>
    </row>
    <row r="26" spans="1:17" ht="90" x14ac:dyDescent="0.25">
      <c r="A26" s="12" t="s">
        <v>376</v>
      </c>
      <c r="B26" s="12" t="s">
        <v>377</v>
      </c>
      <c r="C26" s="15">
        <v>3110</v>
      </c>
      <c r="D26" s="12" t="s">
        <v>378</v>
      </c>
      <c r="E26" s="36" t="s">
        <v>3</v>
      </c>
      <c r="F26" s="12"/>
      <c r="G26" s="12" t="s">
        <v>310</v>
      </c>
      <c r="H26" s="24" t="s">
        <v>311</v>
      </c>
      <c r="I26" s="14"/>
      <c r="J26" s="14"/>
      <c r="K26" s="37">
        <f t="shared" ref="K26:K88" si="1">AVERAGE(L26:N26)</f>
        <v>3.3333333333333335E-3</v>
      </c>
      <c r="L26" s="37">
        <v>0.01</v>
      </c>
      <c r="M26" s="37">
        <v>0</v>
      </c>
      <c r="N26" s="37">
        <v>0</v>
      </c>
      <c r="P26" s="16"/>
      <c r="Q26" s="34" t="s">
        <v>297</v>
      </c>
    </row>
    <row r="27" spans="1:17" ht="90" x14ac:dyDescent="0.25">
      <c r="A27" s="12" t="s">
        <v>376</v>
      </c>
      <c r="B27" s="12" t="s">
        <v>379</v>
      </c>
      <c r="C27" s="15">
        <v>3111</v>
      </c>
      <c r="D27" s="12" t="s">
        <v>380</v>
      </c>
      <c r="E27" s="36" t="s">
        <v>3</v>
      </c>
      <c r="F27" s="12"/>
      <c r="G27" s="12" t="s">
        <v>310</v>
      </c>
      <c r="H27" s="24" t="s">
        <v>311</v>
      </c>
      <c r="I27" s="14"/>
      <c r="J27" s="14"/>
      <c r="K27" s="37">
        <f t="shared" si="1"/>
        <v>3.3333333333333335E-3</v>
      </c>
      <c r="L27" s="37">
        <v>0.01</v>
      </c>
      <c r="M27" s="37">
        <v>0</v>
      </c>
      <c r="N27" s="37">
        <v>0</v>
      </c>
      <c r="O27" s="12" t="s">
        <v>188</v>
      </c>
      <c r="P27" s="16"/>
      <c r="Q27" s="34" t="s">
        <v>297</v>
      </c>
    </row>
    <row r="28" spans="1:17" ht="90" x14ac:dyDescent="0.25">
      <c r="A28" s="12" t="s">
        <v>268</v>
      </c>
      <c r="B28" s="12" t="s">
        <v>381</v>
      </c>
      <c r="C28" s="15">
        <v>3128</v>
      </c>
      <c r="D28" s="12" t="s">
        <v>382</v>
      </c>
      <c r="E28" s="36" t="s">
        <v>3</v>
      </c>
      <c r="F28" s="12"/>
      <c r="G28" s="12" t="s">
        <v>269</v>
      </c>
      <c r="H28" s="24" t="s">
        <v>280</v>
      </c>
      <c r="I28" s="14"/>
      <c r="J28" s="14"/>
      <c r="K28" s="37">
        <f t="shared" si="1"/>
        <v>3.3333333333333335E-3</v>
      </c>
      <c r="L28" s="37">
        <v>0.01</v>
      </c>
      <c r="M28" s="37">
        <v>0</v>
      </c>
      <c r="N28" s="37">
        <v>0</v>
      </c>
      <c r="O28" s="12" t="s">
        <v>188</v>
      </c>
      <c r="P28" s="16"/>
      <c r="Q28" s="34" t="s">
        <v>297</v>
      </c>
    </row>
    <row r="29" spans="1:17" ht="90" x14ac:dyDescent="0.25">
      <c r="A29" s="12" t="s">
        <v>376</v>
      </c>
      <c r="B29" s="12" t="s">
        <v>383</v>
      </c>
      <c r="C29" s="15">
        <v>3153</v>
      </c>
      <c r="D29" s="12" t="s">
        <v>384</v>
      </c>
      <c r="E29" s="36" t="s">
        <v>3</v>
      </c>
      <c r="F29" s="12"/>
      <c r="G29" s="12" t="s">
        <v>310</v>
      </c>
      <c r="H29" s="24" t="s">
        <v>311</v>
      </c>
      <c r="I29" s="14"/>
      <c r="J29" s="14"/>
      <c r="K29" s="37">
        <f t="shared" si="1"/>
        <v>3.3333333333333335E-3</v>
      </c>
      <c r="L29" s="37">
        <v>0.01</v>
      </c>
      <c r="M29" s="37">
        <v>0</v>
      </c>
      <c r="N29" s="37">
        <v>0</v>
      </c>
      <c r="P29" s="16"/>
      <c r="Q29" s="34" t="s">
        <v>297</v>
      </c>
    </row>
    <row r="30" spans="1:17" ht="90" x14ac:dyDescent="0.25">
      <c r="A30" s="12" t="s">
        <v>385</v>
      </c>
      <c r="B30" s="12" t="s">
        <v>386</v>
      </c>
      <c r="C30" s="15">
        <v>3160</v>
      </c>
      <c r="D30" s="12" t="s">
        <v>387</v>
      </c>
      <c r="E30" s="36" t="s">
        <v>3</v>
      </c>
      <c r="F30" s="12"/>
      <c r="G30" s="12" t="s">
        <v>283</v>
      </c>
      <c r="H30" s="24" t="s">
        <v>284</v>
      </c>
      <c r="I30" s="14"/>
      <c r="J30" s="14"/>
      <c r="K30" s="37">
        <f t="shared" si="1"/>
        <v>3.3333333333333335E-3</v>
      </c>
      <c r="L30" s="37">
        <v>0.01</v>
      </c>
      <c r="M30" s="37">
        <v>0</v>
      </c>
      <c r="N30" s="37">
        <v>0</v>
      </c>
      <c r="P30" s="16"/>
      <c r="Q30" s="34" t="s">
        <v>297</v>
      </c>
    </row>
    <row r="31" spans="1:17" ht="90" x14ac:dyDescent="0.25">
      <c r="A31" s="12" t="s">
        <v>261</v>
      </c>
      <c r="B31" s="12" t="s">
        <v>388</v>
      </c>
      <c r="C31" s="15" t="s">
        <v>389</v>
      </c>
      <c r="D31" s="12" t="s">
        <v>390</v>
      </c>
      <c r="E31" s="36" t="s">
        <v>3</v>
      </c>
      <c r="F31" s="12"/>
      <c r="G31" s="20" t="s">
        <v>286</v>
      </c>
      <c r="H31" s="25" t="s">
        <v>285</v>
      </c>
      <c r="I31" s="14"/>
      <c r="J31" s="14"/>
      <c r="K31" s="37">
        <f t="shared" si="1"/>
        <v>3.3333333333333335E-3</v>
      </c>
      <c r="L31" s="37">
        <v>0.01</v>
      </c>
      <c r="M31" s="37">
        <v>0</v>
      </c>
      <c r="N31" s="37">
        <v>0</v>
      </c>
      <c r="P31" s="16"/>
      <c r="Q31" s="34" t="s">
        <v>297</v>
      </c>
    </row>
    <row r="32" spans="1:17" ht="90" x14ac:dyDescent="0.25">
      <c r="A32" s="12" t="s">
        <v>268</v>
      </c>
      <c r="B32" s="12" t="s">
        <v>391</v>
      </c>
      <c r="C32" s="15">
        <v>3179</v>
      </c>
      <c r="D32" s="12" t="s">
        <v>392</v>
      </c>
      <c r="E32" s="36" t="s">
        <v>3</v>
      </c>
      <c r="F32" s="12"/>
      <c r="G32" s="12" t="s">
        <v>269</v>
      </c>
      <c r="H32" s="24" t="s">
        <v>280</v>
      </c>
      <c r="I32" s="14"/>
      <c r="J32" s="14"/>
      <c r="K32" s="37">
        <f t="shared" si="1"/>
        <v>3.3333333333333335E-3</v>
      </c>
      <c r="L32" s="37">
        <v>0.01</v>
      </c>
      <c r="M32" s="37">
        <v>0</v>
      </c>
      <c r="N32" s="37">
        <v>0</v>
      </c>
      <c r="P32" s="16"/>
      <c r="Q32" s="34" t="s">
        <v>297</v>
      </c>
    </row>
    <row r="33" spans="1:17" ht="90" x14ac:dyDescent="0.25">
      <c r="A33" s="12" t="s">
        <v>261</v>
      </c>
      <c r="B33" s="12" t="s">
        <v>393</v>
      </c>
      <c r="C33" s="15" t="s">
        <v>394</v>
      </c>
      <c r="D33" s="12" t="s">
        <v>395</v>
      </c>
      <c r="E33" s="36" t="s">
        <v>3</v>
      </c>
      <c r="F33" s="12"/>
      <c r="G33" s="12" t="s">
        <v>286</v>
      </c>
      <c r="H33" s="24" t="s">
        <v>285</v>
      </c>
      <c r="I33" s="14"/>
      <c r="J33" s="14"/>
      <c r="K33" s="37">
        <f t="shared" si="1"/>
        <v>3.3333333333333335E-3</v>
      </c>
      <c r="L33" s="37">
        <v>0.01</v>
      </c>
      <c r="M33" s="37">
        <v>0</v>
      </c>
      <c r="N33" s="37">
        <v>0</v>
      </c>
      <c r="P33" s="16"/>
      <c r="Q33" s="34" t="s">
        <v>297</v>
      </c>
    </row>
    <row r="34" spans="1:17" ht="90" x14ac:dyDescent="0.25">
      <c r="A34" s="12" t="s">
        <v>376</v>
      </c>
      <c r="B34" s="12" t="s">
        <v>396</v>
      </c>
      <c r="C34" s="15">
        <v>3190</v>
      </c>
      <c r="D34" s="12" t="s">
        <v>397</v>
      </c>
      <c r="E34" s="36" t="s">
        <v>3</v>
      </c>
      <c r="F34" s="12"/>
      <c r="G34" s="12" t="s">
        <v>310</v>
      </c>
      <c r="H34" s="24" t="s">
        <v>311</v>
      </c>
      <c r="I34" s="14"/>
      <c r="J34" s="14"/>
      <c r="K34" s="37">
        <f t="shared" si="1"/>
        <v>3.3333333333333335E-3</v>
      </c>
      <c r="L34" s="37">
        <v>0.01</v>
      </c>
      <c r="M34" s="37">
        <v>0</v>
      </c>
      <c r="N34" s="37">
        <v>0</v>
      </c>
      <c r="P34" s="16"/>
      <c r="Q34" s="34" t="s">
        <v>297</v>
      </c>
    </row>
    <row r="35" spans="1:17" ht="90" x14ac:dyDescent="0.25">
      <c r="A35" s="12" t="s">
        <v>385</v>
      </c>
      <c r="B35" s="12" t="s">
        <v>398</v>
      </c>
      <c r="C35" s="15">
        <v>3197</v>
      </c>
      <c r="D35" s="12" t="s">
        <v>399</v>
      </c>
      <c r="E35" s="36" t="s">
        <v>3</v>
      </c>
      <c r="F35" s="12"/>
      <c r="G35" s="12" t="s">
        <v>283</v>
      </c>
      <c r="H35" s="24" t="s">
        <v>284</v>
      </c>
      <c r="I35" s="14"/>
      <c r="J35" s="14"/>
      <c r="K35" s="37">
        <f t="shared" si="1"/>
        <v>3.3333333333333335E-3</v>
      </c>
      <c r="L35" s="37">
        <v>0.01</v>
      </c>
      <c r="M35" s="37">
        <v>0</v>
      </c>
      <c r="N35" s="37">
        <v>0</v>
      </c>
      <c r="P35" s="16"/>
      <c r="Q35" s="34" t="s">
        <v>297</v>
      </c>
    </row>
    <row r="36" spans="1:17" ht="105" x14ac:dyDescent="0.25">
      <c r="A36" s="12" t="s">
        <v>293</v>
      </c>
      <c r="B36" s="12" t="s">
        <v>400</v>
      </c>
      <c r="C36" s="15" t="s">
        <v>401</v>
      </c>
      <c r="D36" s="12" t="s">
        <v>402</v>
      </c>
      <c r="E36" s="36" t="s">
        <v>3</v>
      </c>
      <c r="F36" s="12"/>
      <c r="G36" s="20" t="s">
        <v>295</v>
      </c>
      <c r="H36" s="25" t="s">
        <v>296</v>
      </c>
      <c r="I36" s="14"/>
      <c r="J36" s="14"/>
      <c r="K36" s="37">
        <f t="shared" si="1"/>
        <v>3.3333333333333335E-3</v>
      </c>
      <c r="L36" s="37">
        <v>0.01</v>
      </c>
      <c r="M36" s="37">
        <v>0</v>
      </c>
      <c r="N36" s="37">
        <v>0</v>
      </c>
      <c r="P36" s="16"/>
      <c r="Q36" s="34" t="s">
        <v>297</v>
      </c>
    </row>
    <row r="37" spans="1:17" ht="75" x14ac:dyDescent="0.25">
      <c r="A37" s="12" t="s">
        <v>51</v>
      </c>
      <c r="B37" s="12" t="s">
        <v>403</v>
      </c>
      <c r="C37" s="15">
        <v>3213</v>
      </c>
      <c r="D37" s="12" t="s">
        <v>404</v>
      </c>
      <c r="E37" s="36" t="s">
        <v>3</v>
      </c>
      <c r="F37" s="12"/>
      <c r="G37" s="12" t="s">
        <v>53</v>
      </c>
      <c r="H37" s="24" t="s">
        <v>281</v>
      </c>
      <c r="I37" s="14"/>
      <c r="J37" s="14"/>
      <c r="K37" s="37">
        <f t="shared" si="1"/>
        <v>3.3333333333333335E-3</v>
      </c>
      <c r="L37" s="37">
        <v>0.01</v>
      </c>
      <c r="M37" s="37">
        <v>0</v>
      </c>
      <c r="N37" s="37">
        <v>0</v>
      </c>
      <c r="P37" s="16"/>
      <c r="Q37" s="34" t="s">
        <v>297</v>
      </c>
    </row>
    <row r="38" spans="1:17" ht="90" x14ac:dyDescent="0.25">
      <c r="A38" s="12" t="s">
        <v>91</v>
      </c>
      <c r="B38" s="12" t="s">
        <v>405</v>
      </c>
      <c r="C38" s="15">
        <v>3220</v>
      </c>
      <c r="D38" s="12" t="s">
        <v>287</v>
      </c>
      <c r="E38" s="36" t="s">
        <v>3</v>
      </c>
      <c r="F38" s="12"/>
      <c r="G38" s="12" t="s">
        <v>157</v>
      </c>
      <c r="H38" s="24" t="s">
        <v>288</v>
      </c>
      <c r="I38" s="14"/>
      <c r="J38" s="14"/>
      <c r="K38" s="37">
        <f t="shared" si="1"/>
        <v>3.3333333333333335E-3</v>
      </c>
      <c r="L38" s="37">
        <v>0.01</v>
      </c>
      <c r="M38" s="37">
        <v>0</v>
      </c>
      <c r="N38" s="37">
        <v>0</v>
      </c>
      <c r="P38" s="16" t="s">
        <v>406</v>
      </c>
      <c r="Q38" s="34" t="s">
        <v>297</v>
      </c>
    </row>
    <row r="39" spans="1:17" ht="75" x14ac:dyDescent="0.25">
      <c r="A39" s="12" t="s">
        <v>407</v>
      </c>
      <c r="B39" s="12" t="s">
        <v>408</v>
      </c>
      <c r="C39" s="15"/>
      <c r="D39" s="12" t="s">
        <v>409</v>
      </c>
      <c r="E39" s="36" t="s">
        <v>3</v>
      </c>
      <c r="F39" s="12"/>
      <c r="G39" s="12" t="s">
        <v>410</v>
      </c>
      <c r="H39" s="38" t="s">
        <v>411</v>
      </c>
      <c r="I39" s="14"/>
      <c r="J39" s="14"/>
      <c r="K39" s="37">
        <f t="shared" si="1"/>
        <v>3.3333333333333335E-3</v>
      </c>
      <c r="L39" s="37">
        <v>0.01</v>
      </c>
      <c r="M39" s="37">
        <v>0</v>
      </c>
      <c r="N39" s="37">
        <v>0</v>
      </c>
      <c r="P39" s="16"/>
      <c r="Q39" s="34" t="s">
        <v>297</v>
      </c>
    </row>
    <row r="40" spans="1:17" ht="90" x14ac:dyDescent="0.25">
      <c r="A40" s="12" t="s">
        <v>376</v>
      </c>
      <c r="B40" s="12" t="s">
        <v>412</v>
      </c>
      <c r="C40" s="15">
        <v>3226</v>
      </c>
      <c r="D40" s="12" t="s">
        <v>413</v>
      </c>
      <c r="E40" s="36" t="s">
        <v>3</v>
      </c>
      <c r="F40" s="12"/>
      <c r="G40" s="12" t="s">
        <v>310</v>
      </c>
      <c r="H40" s="24" t="s">
        <v>311</v>
      </c>
      <c r="I40" s="14"/>
      <c r="J40" s="14"/>
      <c r="K40" s="37">
        <f t="shared" si="1"/>
        <v>3.3333333333333335E-3</v>
      </c>
      <c r="L40" s="37">
        <v>0.01</v>
      </c>
      <c r="M40" s="37">
        <v>0</v>
      </c>
      <c r="N40" s="37">
        <v>0</v>
      </c>
      <c r="P40" s="16" t="s">
        <v>414</v>
      </c>
      <c r="Q40" s="34" t="s">
        <v>297</v>
      </c>
    </row>
    <row r="41" spans="1:17" ht="75" x14ac:dyDescent="0.25">
      <c r="A41" s="12" t="s">
        <v>255</v>
      </c>
      <c r="B41" s="12" t="s">
        <v>415</v>
      </c>
      <c r="C41" s="15">
        <v>3231</v>
      </c>
      <c r="D41" s="12" t="s">
        <v>151</v>
      </c>
      <c r="E41" s="36" t="s">
        <v>3</v>
      </c>
      <c r="F41" s="12"/>
      <c r="G41" s="12" t="s">
        <v>155</v>
      </c>
      <c r="H41" s="24" t="s">
        <v>279</v>
      </c>
      <c r="I41" s="14"/>
      <c r="J41" s="14"/>
      <c r="K41" s="37">
        <f t="shared" si="1"/>
        <v>3.3333333333333335E-3</v>
      </c>
      <c r="L41" s="37">
        <v>0.01</v>
      </c>
      <c r="M41" s="37">
        <v>0</v>
      </c>
      <c r="N41" s="37">
        <v>0</v>
      </c>
      <c r="P41" s="16" t="s">
        <v>351</v>
      </c>
      <c r="Q41" s="34" t="s">
        <v>297</v>
      </c>
    </row>
    <row r="42" spans="1:17" ht="90" x14ac:dyDescent="0.25">
      <c r="A42" s="12" t="s">
        <v>91</v>
      </c>
      <c r="B42" s="12" t="s">
        <v>416</v>
      </c>
      <c r="C42" s="15">
        <v>3236</v>
      </c>
      <c r="D42" s="12" t="s">
        <v>143</v>
      </c>
      <c r="E42" s="36" t="s">
        <v>3</v>
      </c>
      <c r="F42" s="12"/>
      <c r="G42" s="12" t="s">
        <v>157</v>
      </c>
      <c r="H42" s="24" t="s">
        <v>288</v>
      </c>
      <c r="I42" s="14"/>
      <c r="J42" s="14"/>
      <c r="K42" s="37">
        <f t="shared" si="1"/>
        <v>3.3333333333333335E-3</v>
      </c>
      <c r="L42" s="37">
        <v>0.01</v>
      </c>
      <c r="M42" s="37">
        <v>0</v>
      </c>
      <c r="N42" s="37">
        <v>0</v>
      </c>
      <c r="P42" s="16" t="s">
        <v>406</v>
      </c>
      <c r="Q42" s="34" t="s">
        <v>297</v>
      </c>
    </row>
    <row r="43" spans="1:17" ht="90" x14ac:dyDescent="0.25">
      <c r="A43" s="12" t="s">
        <v>298</v>
      </c>
      <c r="B43" s="12" t="s">
        <v>417</v>
      </c>
      <c r="C43" s="15">
        <v>3240</v>
      </c>
      <c r="D43" s="12" t="s">
        <v>418</v>
      </c>
      <c r="E43" s="36" t="s">
        <v>3</v>
      </c>
      <c r="F43" s="12"/>
      <c r="G43" s="12" t="s">
        <v>299</v>
      </c>
      <c r="H43" s="2" t="s">
        <v>300</v>
      </c>
      <c r="I43" s="14"/>
      <c r="J43" s="14"/>
      <c r="K43" s="37">
        <f t="shared" si="1"/>
        <v>3.3333333333333335E-3</v>
      </c>
      <c r="L43" s="37">
        <v>0.01</v>
      </c>
      <c r="M43" s="37">
        <v>0</v>
      </c>
      <c r="N43" s="37">
        <v>0</v>
      </c>
      <c r="P43" s="16"/>
      <c r="Q43" s="34" t="s">
        <v>297</v>
      </c>
    </row>
    <row r="44" spans="1:17" ht="90" x14ac:dyDescent="0.25">
      <c r="A44" s="12" t="s">
        <v>314</v>
      </c>
      <c r="B44" s="12" t="s">
        <v>419</v>
      </c>
      <c r="C44" s="15">
        <v>3242</v>
      </c>
      <c r="D44" s="12" t="s">
        <v>420</v>
      </c>
      <c r="E44" s="36" t="s">
        <v>3</v>
      </c>
      <c r="F44" s="12"/>
      <c r="G44" s="12" t="s">
        <v>317</v>
      </c>
      <c r="H44" s="24" t="s">
        <v>318</v>
      </c>
      <c r="I44" s="14"/>
      <c r="J44" s="14"/>
      <c r="K44" s="37">
        <f t="shared" si="1"/>
        <v>3.3333333333333335E-3</v>
      </c>
      <c r="L44" s="37">
        <v>0.01</v>
      </c>
      <c r="M44" s="37">
        <v>0</v>
      </c>
      <c r="N44" s="37">
        <v>0</v>
      </c>
      <c r="P44" s="16"/>
      <c r="Q44" s="34" t="s">
        <v>297</v>
      </c>
    </row>
    <row r="45" spans="1:17" ht="105" x14ac:dyDescent="0.25">
      <c r="A45" s="12" t="s">
        <v>59</v>
      </c>
      <c r="B45" s="12"/>
      <c r="C45" s="15"/>
      <c r="D45" s="12"/>
      <c r="E45" s="36" t="s">
        <v>3</v>
      </c>
      <c r="F45" s="12"/>
      <c r="G45" s="12" t="s">
        <v>421</v>
      </c>
      <c r="H45" s="24" t="s">
        <v>422</v>
      </c>
      <c r="I45" s="14"/>
      <c r="J45" s="14"/>
      <c r="K45" s="37">
        <f t="shared" si="1"/>
        <v>3.3333333333333335E-3</v>
      </c>
      <c r="L45" s="37">
        <v>0.01</v>
      </c>
      <c r="M45" s="37">
        <v>0</v>
      </c>
      <c r="N45" s="37">
        <v>0</v>
      </c>
      <c r="P45" s="16"/>
      <c r="Q45" s="34" t="s">
        <v>297</v>
      </c>
    </row>
    <row r="46" spans="1:17" ht="105" x14ac:dyDescent="0.25">
      <c r="A46" s="12"/>
      <c r="B46" s="12"/>
      <c r="C46" s="15"/>
      <c r="D46" s="12"/>
      <c r="E46" s="36" t="s">
        <v>3</v>
      </c>
      <c r="F46" s="12"/>
      <c r="G46" s="12" t="s">
        <v>423</v>
      </c>
      <c r="H46" s="24" t="s">
        <v>424</v>
      </c>
      <c r="I46" s="14"/>
      <c r="J46" s="14"/>
      <c r="K46" s="37">
        <f t="shared" si="1"/>
        <v>3.3333333333333335E-3</v>
      </c>
      <c r="L46" s="37">
        <v>0.01</v>
      </c>
      <c r="M46" s="37">
        <v>0</v>
      </c>
      <c r="N46" s="37">
        <v>0</v>
      </c>
      <c r="P46" s="16"/>
      <c r="Q46" s="34" t="s">
        <v>297</v>
      </c>
    </row>
    <row r="47" spans="1:17" ht="90" x14ac:dyDescent="0.25">
      <c r="A47" s="12" t="s">
        <v>314</v>
      </c>
      <c r="B47" s="12" t="s">
        <v>425</v>
      </c>
      <c r="C47" s="15">
        <v>3241</v>
      </c>
      <c r="D47" s="12" t="s">
        <v>426</v>
      </c>
      <c r="E47" s="36" t="s">
        <v>3</v>
      </c>
      <c r="F47" s="12"/>
      <c r="G47" s="12" t="s">
        <v>317</v>
      </c>
      <c r="H47" s="24" t="s">
        <v>318</v>
      </c>
      <c r="I47" s="14"/>
      <c r="J47" s="14"/>
      <c r="K47" s="37">
        <f t="shared" si="1"/>
        <v>3.3333333333333335E-3</v>
      </c>
      <c r="L47" s="37">
        <v>0.01</v>
      </c>
      <c r="M47" s="37">
        <v>0</v>
      </c>
      <c r="N47" s="37">
        <v>0</v>
      </c>
      <c r="P47" s="16"/>
      <c r="Q47" s="34" t="s">
        <v>297</v>
      </c>
    </row>
    <row r="48" spans="1:17" ht="90" x14ac:dyDescent="0.25">
      <c r="A48" s="12" t="s">
        <v>261</v>
      </c>
      <c r="B48" s="12" t="s">
        <v>427</v>
      </c>
      <c r="C48" s="15" t="s">
        <v>428</v>
      </c>
      <c r="D48" s="12" t="s">
        <v>429</v>
      </c>
      <c r="E48" s="36" t="s">
        <v>3</v>
      </c>
      <c r="F48" s="12"/>
      <c r="G48" s="12" t="s">
        <v>286</v>
      </c>
      <c r="H48" s="24" t="s">
        <v>285</v>
      </c>
      <c r="I48" s="14"/>
      <c r="J48" s="14"/>
      <c r="K48" s="37">
        <f t="shared" si="1"/>
        <v>3.3333333333333335E-3</v>
      </c>
      <c r="L48" s="37">
        <v>0.01</v>
      </c>
      <c r="M48" s="37">
        <v>0</v>
      </c>
      <c r="N48" s="37">
        <v>0</v>
      </c>
      <c r="P48" s="16"/>
      <c r="Q48" s="34" t="s">
        <v>297</v>
      </c>
    </row>
    <row r="49" spans="1:17" ht="90" x14ac:dyDescent="0.25">
      <c r="A49" s="12" t="s">
        <v>376</v>
      </c>
      <c r="B49" s="12" t="s">
        <v>430</v>
      </c>
      <c r="C49" s="15">
        <v>3273</v>
      </c>
      <c r="D49" s="12" t="s">
        <v>431</v>
      </c>
      <c r="E49" s="36" t="s">
        <v>3</v>
      </c>
      <c r="F49" s="12"/>
      <c r="G49" s="12" t="s">
        <v>310</v>
      </c>
      <c r="H49" s="24" t="s">
        <v>311</v>
      </c>
      <c r="I49" s="14"/>
      <c r="J49" s="14"/>
      <c r="K49" s="37">
        <f t="shared" si="1"/>
        <v>3.3333333333333335E-3</v>
      </c>
      <c r="L49" s="37">
        <v>0.01</v>
      </c>
      <c r="M49" s="37">
        <v>0</v>
      </c>
      <c r="N49" s="37">
        <v>0</v>
      </c>
      <c r="P49" s="16"/>
      <c r="Q49" s="34" t="s">
        <v>297</v>
      </c>
    </row>
    <row r="50" spans="1:17" ht="90" x14ac:dyDescent="0.25">
      <c r="A50" s="12" t="s">
        <v>298</v>
      </c>
      <c r="B50" s="12" t="s">
        <v>432</v>
      </c>
      <c r="C50" s="15">
        <v>3276</v>
      </c>
      <c r="D50" s="12" t="s">
        <v>433</v>
      </c>
      <c r="E50" s="36" t="s">
        <v>3</v>
      </c>
      <c r="F50" s="12"/>
      <c r="G50" s="12" t="s">
        <v>299</v>
      </c>
      <c r="H50" s="2" t="s">
        <v>300</v>
      </c>
      <c r="I50" s="14"/>
      <c r="J50" s="14"/>
      <c r="K50" s="37">
        <f t="shared" si="1"/>
        <v>3.3333333333333335E-3</v>
      </c>
      <c r="L50" s="37">
        <v>0.01</v>
      </c>
      <c r="M50" s="37">
        <v>0</v>
      </c>
      <c r="N50" s="37">
        <v>0</v>
      </c>
      <c r="P50" s="16"/>
      <c r="Q50" s="34" t="s">
        <v>297</v>
      </c>
    </row>
    <row r="51" spans="1:17" ht="90" x14ac:dyDescent="0.25">
      <c r="A51" s="12" t="s">
        <v>298</v>
      </c>
      <c r="B51" s="12" t="s">
        <v>434</v>
      </c>
      <c r="C51" s="15">
        <v>3282</v>
      </c>
      <c r="D51" s="12" t="s">
        <v>435</v>
      </c>
      <c r="E51" s="36" t="s">
        <v>3</v>
      </c>
      <c r="F51" s="12"/>
      <c r="G51" s="12" t="s">
        <v>299</v>
      </c>
      <c r="H51" s="2" t="s">
        <v>300</v>
      </c>
      <c r="I51" s="14"/>
      <c r="J51" s="14"/>
      <c r="K51" s="37">
        <f t="shared" si="1"/>
        <v>3.3333333333333335E-3</v>
      </c>
      <c r="L51" s="37">
        <v>0.01</v>
      </c>
      <c r="M51" s="37">
        <v>0</v>
      </c>
      <c r="N51" s="37">
        <v>0</v>
      </c>
      <c r="P51" s="16"/>
      <c r="Q51" s="34" t="s">
        <v>297</v>
      </c>
    </row>
    <row r="52" spans="1:17" ht="90" x14ac:dyDescent="0.25">
      <c r="A52" s="12" t="s">
        <v>298</v>
      </c>
      <c r="B52" s="12" t="s">
        <v>436</v>
      </c>
      <c r="C52" s="15">
        <v>3283</v>
      </c>
      <c r="D52" s="12" t="s">
        <v>287</v>
      </c>
      <c r="E52" s="36" t="s">
        <v>3</v>
      </c>
      <c r="F52" s="12"/>
      <c r="G52" s="12" t="s">
        <v>299</v>
      </c>
      <c r="H52" s="2" t="s">
        <v>300</v>
      </c>
      <c r="I52" s="14"/>
      <c r="J52" s="14"/>
      <c r="K52" s="37">
        <f t="shared" si="1"/>
        <v>3.3333333333333335E-3</v>
      </c>
      <c r="L52" s="37">
        <v>0.01</v>
      </c>
      <c r="M52" s="37">
        <v>0</v>
      </c>
      <c r="N52" s="37">
        <v>0</v>
      </c>
      <c r="P52" s="16"/>
      <c r="Q52" s="34" t="s">
        <v>297</v>
      </c>
    </row>
    <row r="53" spans="1:17" ht="90" x14ac:dyDescent="0.25">
      <c r="A53" s="12" t="s">
        <v>261</v>
      </c>
      <c r="B53" s="12" t="s">
        <v>437</v>
      </c>
      <c r="C53" s="15" t="s">
        <v>438</v>
      </c>
      <c r="D53" s="12" t="s">
        <v>439</v>
      </c>
      <c r="E53" s="36" t="s">
        <v>3</v>
      </c>
      <c r="F53" s="12"/>
      <c r="G53" s="12"/>
      <c r="H53" s="24" t="s">
        <v>285</v>
      </c>
      <c r="I53" s="14"/>
      <c r="J53" s="14"/>
      <c r="K53" s="37">
        <f t="shared" si="1"/>
        <v>3.3333333333333335E-3</v>
      </c>
      <c r="L53" s="37">
        <v>0.01</v>
      </c>
      <c r="M53" s="37">
        <v>0</v>
      </c>
      <c r="N53" s="37">
        <v>0</v>
      </c>
      <c r="P53" s="16"/>
      <c r="Q53" s="34" t="s">
        <v>297</v>
      </c>
    </row>
    <row r="54" spans="1:17" ht="45" x14ac:dyDescent="0.25">
      <c r="A54" s="12" t="s">
        <v>440</v>
      </c>
      <c r="B54" s="12" t="s">
        <v>441</v>
      </c>
      <c r="C54" s="15" t="s">
        <v>67</v>
      </c>
      <c r="D54" s="12" t="s">
        <v>442</v>
      </c>
      <c r="E54" s="36" t="s">
        <v>3</v>
      </c>
      <c r="F54" s="12"/>
      <c r="G54" s="12" t="s">
        <v>443</v>
      </c>
      <c r="H54" s="24" t="s">
        <v>444</v>
      </c>
      <c r="I54" s="14"/>
      <c r="J54" s="14"/>
      <c r="K54" s="37">
        <f t="shared" si="1"/>
        <v>3.3333333333333335E-3</v>
      </c>
      <c r="L54" s="37">
        <v>0.01</v>
      </c>
      <c r="M54" s="37">
        <v>0</v>
      </c>
      <c r="N54" s="37">
        <v>0</v>
      </c>
      <c r="P54" s="16"/>
      <c r="Q54" s="34" t="s">
        <v>297</v>
      </c>
    </row>
    <row r="55" spans="1:17" ht="90" x14ac:dyDescent="0.25">
      <c r="A55" s="12" t="s">
        <v>298</v>
      </c>
      <c r="B55" s="12" t="s">
        <v>445</v>
      </c>
      <c r="C55" s="15">
        <v>3292</v>
      </c>
      <c r="D55" s="12" t="s">
        <v>446</v>
      </c>
      <c r="E55" s="36" t="s">
        <v>3</v>
      </c>
      <c r="F55" s="12"/>
      <c r="G55" s="12" t="s">
        <v>299</v>
      </c>
      <c r="H55" s="2" t="s">
        <v>300</v>
      </c>
      <c r="I55" s="14"/>
      <c r="J55" s="14"/>
      <c r="K55" s="37">
        <f t="shared" si="1"/>
        <v>3.3333333333333335E-3</v>
      </c>
      <c r="L55" s="37">
        <v>0.01</v>
      </c>
      <c r="M55" s="37">
        <v>0</v>
      </c>
      <c r="N55" s="37">
        <v>0</v>
      </c>
      <c r="P55" s="16"/>
      <c r="Q55" s="34" t="s">
        <v>297</v>
      </c>
    </row>
    <row r="56" spans="1:17" ht="90" x14ac:dyDescent="0.25">
      <c r="A56" s="12" t="s">
        <v>376</v>
      </c>
      <c r="B56" s="12" t="s">
        <v>447</v>
      </c>
      <c r="C56" s="15">
        <v>3294</v>
      </c>
      <c r="D56" s="12" t="s">
        <v>448</v>
      </c>
      <c r="E56" s="36" t="s">
        <v>3</v>
      </c>
      <c r="F56" s="12"/>
      <c r="G56" s="12" t="s">
        <v>310</v>
      </c>
      <c r="H56" s="24" t="s">
        <v>311</v>
      </c>
      <c r="I56" s="14"/>
      <c r="J56" s="14"/>
      <c r="K56" s="37">
        <f t="shared" si="1"/>
        <v>3.3333333333333335E-3</v>
      </c>
      <c r="L56" s="37">
        <v>0.01</v>
      </c>
      <c r="M56" s="37">
        <v>0</v>
      </c>
      <c r="N56" s="37">
        <v>0</v>
      </c>
      <c r="P56" s="16"/>
      <c r="Q56" s="34" t="s">
        <v>297</v>
      </c>
    </row>
    <row r="57" spans="1:17" ht="75" x14ac:dyDescent="0.25">
      <c r="A57" s="12" t="s">
        <v>319</v>
      </c>
      <c r="B57" s="12" t="s">
        <v>449</v>
      </c>
      <c r="C57" s="15" t="s">
        <v>450</v>
      </c>
      <c r="D57" s="12" t="s">
        <v>451</v>
      </c>
      <c r="E57" s="36" t="s">
        <v>3</v>
      </c>
      <c r="F57" s="12"/>
      <c r="G57" s="12" t="s">
        <v>322</v>
      </c>
      <c r="H57" s="24" t="s">
        <v>452</v>
      </c>
      <c r="I57" s="14"/>
      <c r="J57" s="14"/>
      <c r="K57" s="37">
        <f t="shared" si="1"/>
        <v>3.3333333333333335E-3</v>
      </c>
      <c r="L57" s="37">
        <v>0.01</v>
      </c>
      <c r="M57" s="37">
        <v>0</v>
      </c>
      <c r="N57" s="37">
        <v>0</v>
      </c>
      <c r="P57" s="16"/>
      <c r="Q57" s="34" t="s">
        <v>297</v>
      </c>
    </row>
    <row r="58" spans="1:17" ht="90" x14ac:dyDescent="0.25">
      <c r="A58" s="12" t="s">
        <v>298</v>
      </c>
      <c r="B58" s="12" t="s">
        <v>453</v>
      </c>
      <c r="C58" s="15">
        <v>3300</v>
      </c>
      <c r="D58" s="12" t="s">
        <v>454</v>
      </c>
      <c r="E58" s="36" t="s">
        <v>3</v>
      </c>
      <c r="F58" s="12"/>
      <c r="G58" s="12" t="s">
        <v>299</v>
      </c>
      <c r="H58" s="2" t="s">
        <v>300</v>
      </c>
      <c r="I58" s="14"/>
      <c r="J58" s="14"/>
      <c r="K58" s="37">
        <f t="shared" si="1"/>
        <v>3.3333333333333335E-3</v>
      </c>
      <c r="L58" s="37">
        <v>0.01</v>
      </c>
      <c r="M58" s="37">
        <v>0</v>
      </c>
      <c r="N58" s="37">
        <v>0</v>
      </c>
      <c r="P58" s="16"/>
      <c r="Q58" s="34" t="s">
        <v>297</v>
      </c>
    </row>
    <row r="59" spans="1:17" ht="90" x14ac:dyDescent="0.25">
      <c r="A59" s="12" t="s">
        <v>261</v>
      </c>
      <c r="B59" s="12" t="s">
        <v>455</v>
      </c>
      <c r="C59" s="15" t="s">
        <v>456</v>
      </c>
      <c r="D59" s="12" t="s">
        <v>457</v>
      </c>
      <c r="E59" s="36" t="s">
        <v>3</v>
      </c>
      <c r="F59" s="12"/>
      <c r="G59" s="12"/>
      <c r="H59" s="24" t="s">
        <v>285</v>
      </c>
      <c r="I59" s="14"/>
      <c r="J59" s="14"/>
      <c r="K59" s="37">
        <f t="shared" si="1"/>
        <v>3.3333333333333335E-3</v>
      </c>
      <c r="L59" s="37">
        <v>0.01</v>
      </c>
      <c r="M59" s="37">
        <v>0</v>
      </c>
      <c r="N59" s="37">
        <v>0</v>
      </c>
      <c r="P59" s="16"/>
      <c r="Q59" s="34" t="s">
        <v>297</v>
      </c>
    </row>
    <row r="60" spans="1:17" ht="90" x14ac:dyDescent="0.25">
      <c r="A60" s="12" t="s">
        <v>268</v>
      </c>
      <c r="B60" s="12" t="s">
        <v>458</v>
      </c>
      <c r="C60" s="15">
        <v>3333</v>
      </c>
      <c r="D60" s="12" t="s">
        <v>78</v>
      </c>
      <c r="E60" s="36" t="s">
        <v>3</v>
      </c>
      <c r="F60" s="12"/>
      <c r="G60" s="12"/>
      <c r="H60" s="24" t="s">
        <v>280</v>
      </c>
      <c r="I60" s="14"/>
      <c r="J60" s="14"/>
      <c r="K60" s="37">
        <f t="shared" si="1"/>
        <v>3.3333333333333335E-3</v>
      </c>
      <c r="L60" s="37">
        <v>0.01</v>
      </c>
      <c r="M60" s="37">
        <v>0</v>
      </c>
      <c r="N60" s="37">
        <v>0</v>
      </c>
      <c r="P60" s="16" t="s">
        <v>459</v>
      </c>
      <c r="Q60" s="34" t="s">
        <v>297</v>
      </c>
    </row>
    <row r="61" spans="1:17" ht="90" x14ac:dyDescent="0.25">
      <c r="A61" s="12" t="s">
        <v>314</v>
      </c>
      <c r="B61" s="12" t="s">
        <v>460</v>
      </c>
      <c r="C61" s="15">
        <v>3336</v>
      </c>
      <c r="D61" s="12" t="s">
        <v>219</v>
      </c>
      <c r="E61" s="36" t="s">
        <v>3</v>
      </c>
      <c r="F61" s="12"/>
      <c r="G61" s="12"/>
      <c r="H61" s="24" t="s">
        <v>318</v>
      </c>
      <c r="I61" s="14"/>
      <c r="J61" s="14"/>
      <c r="K61" s="37">
        <f t="shared" si="1"/>
        <v>3.3333333333333335E-3</v>
      </c>
      <c r="L61" s="37">
        <v>0.01</v>
      </c>
      <c r="M61" s="37">
        <v>0</v>
      </c>
      <c r="N61" s="37">
        <v>0</v>
      </c>
      <c r="P61" s="16"/>
      <c r="Q61" s="34" t="s">
        <v>297</v>
      </c>
    </row>
    <row r="62" spans="1:17" ht="75" x14ac:dyDescent="0.25">
      <c r="A62" s="12" t="s">
        <v>461</v>
      </c>
      <c r="B62" s="12" t="s">
        <v>462</v>
      </c>
      <c r="C62" s="15">
        <v>3339</v>
      </c>
      <c r="D62" s="12" t="s">
        <v>463</v>
      </c>
      <c r="E62" s="36" t="s">
        <v>3</v>
      </c>
      <c r="F62" s="12"/>
      <c r="G62" s="12"/>
      <c r="H62" s="2" t="s">
        <v>464</v>
      </c>
      <c r="I62"/>
      <c r="J62"/>
      <c r="K62" s="37">
        <f t="shared" si="1"/>
        <v>3.3333333333333335E-3</v>
      </c>
      <c r="L62" s="37">
        <v>0.01</v>
      </c>
      <c r="M62" s="37">
        <v>0</v>
      </c>
      <c r="N62" s="37">
        <v>0</v>
      </c>
      <c r="P62" s="16"/>
      <c r="Q62" s="34" t="s">
        <v>297</v>
      </c>
    </row>
    <row r="63" spans="1:17" ht="90" x14ac:dyDescent="0.25">
      <c r="A63" s="12" t="s">
        <v>278</v>
      </c>
      <c r="B63" s="12" t="s">
        <v>465</v>
      </c>
      <c r="C63" s="15">
        <v>3341</v>
      </c>
      <c r="D63" s="12" t="s">
        <v>466</v>
      </c>
      <c r="E63" s="36" t="s">
        <v>3</v>
      </c>
      <c r="F63" s="12"/>
      <c r="G63" s="12"/>
      <c r="H63" s="24" t="s">
        <v>467</v>
      </c>
      <c r="I63" s="14"/>
      <c r="J63" s="14"/>
      <c r="K63" s="37">
        <f t="shared" si="1"/>
        <v>3.3333333333333335E-3</v>
      </c>
      <c r="L63" s="37">
        <v>0.01</v>
      </c>
      <c r="M63" s="37">
        <v>0</v>
      </c>
      <c r="N63" s="37">
        <v>0</v>
      </c>
      <c r="P63" s="16"/>
      <c r="Q63" s="34" t="s">
        <v>297</v>
      </c>
    </row>
    <row r="64" spans="1:17" ht="90" x14ac:dyDescent="0.25">
      <c r="A64" s="12" t="s">
        <v>314</v>
      </c>
      <c r="B64" s="12" t="s">
        <v>468</v>
      </c>
      <c r="C64" s="15">
        <v>3356</v>
      </c>
      <c r="D64" s="12" t="s">
        <v>469</v>
      </c>
      <c r="E64" s="36" t="s">
        <v>3</v>
      </c>
      <c r="F64" s="12"/>
      <c r="G64" s="12"/>
      <c r="H64" s="24" t="s">
        <v>318</v>
      </c>
      <c r="I64" s="14"/>
      <c r="J64" s="14"/>
      <c r="K64" s="37">
        <f t="shared" si="1"/>
        <v>3.3333333333333335E-3</v>
      </c>
      <c r="L64" s="37">
        <v>0.01</v>
      </c>
      <c r="M64" s="37">
        <v>0</v>
      </c>
      <c r="N64" s="37">
        <v>0</v>
      </c>
      <c r="P64" s="34" t="s">
        <v>470</v>
      </c>
      <c r="Q64" s="34" t="s">
        <v>297</v>
      </c>
    </row>
    <row r="65" spans="1:17" ht="90" x14ac:dyDescent="0.25">
      <c r="A65" s="12" t="s">
        <v>314</v>
      </c>
      <c r="B65" s="12" t="s">
        <v>471</v>
      </c>
      <c r="C65" s="15">
        <v>3357</v>
      </c>
      <c r="D65" s="12" t="s">
        <v>472</v>
      </c>
      <c r="E65" s="36" t="s">
        <v>3</v>
      </c>
      <c r="F65" s="12"/>
      <c r="G65" s="12"/>
      <c r="H65" s="24" t="s">
        <v>276</v>
      </c>
      <c r="I65" s="14"/>
      <c r="J65" s="14"/>
      <c r="K65" s="37">
        <f t="shared" si="1"/>
        <v>3.3333333333333335E-3</v>
      </c>
      <c r="L65" s="37">
        <v>0.01</v>
      </c>
      <c r="M65" s="37">
        <v>0</v>
      </c>
      <c r="N65" s="37">
        <v>0</v>
      </c>
      <c r="P65" s="16"/>
      <c r="Q65" s="34" t="s">
        <v>297</v>
      </c>
    </row>
    <row r="66" spans="1:17" ht="90" x14ac:dyDescent="0.25">
      <c r="A66" s="12" t="s">
        <v>261</v>
      </c>
      <c r="B66" s="12" t="s">
        <v>473</v>
      </c>
      <c r="C66" s="15" t="s">
        <v>474</v>
      </c>
      <c r="D66" s="12" t="s">
        <v>475</v>
      </c>
      <c r="E66" s="36" t="s">
        <v>3</v>
      </c>
      <c r="F66" s="12"/>
      <c r="G66" s="12"/>
      <c r="H66" s="24" t="s">
        <v>285</v>
      </c>
      <c r="I66" s="14"/>
      <c r="J66" s="14"/>
      <c r="K66" s="37">
        <f t="shared" si="1"/>
        <v>3.3333333333333335E-3</v>
      </c>
      <c r="L66" s="37">
        <v>0.01</v>
      </c>
      <c r="M66" s="37">
        <v>0</v>
      </c>
      <c r="N66" s="37">
        <v>0</v>
      </c>
      <c r="P66" s="16"/>
      <c r="Q66" s="34" t="s">
        <v>297</v>
      </c>
    </row>
    <row r="67" spans="1:17" ht="75" x14ac:dyDescent="0.25">
      <c r="A67" s="12" t="s">
        <v>461</v>
      </c>
      <c r="B67" s="12" t="s">
        <v>476</v>
      </c>
      <c r="C67" s="15">
        <v>3374</v>
      </c>
      <c r="D67" s="12" t="s">
        <v>477</v>
      </c>
      <c r="E67" s="36" t="s">
        <v>3</v>
      </c>
      <c r="F67" s="12"/>
      <c r="G67" s="12"/>
      <c r="H67" s="2" t="s">
        <v>464</v>
      </c>
      <c r="I67" s="14"/>
      <c r="J67" s="14"/>
      <c r="K67" s="37">
        <f t="shared" si="1"/>
        <v>3.3333333333333335E-3</v>
      </c>
      <c r="L67" s="37">
        <v>0.01</v>
      </c>
      <c r="M67" s="37">
        <v>0</v>
      </c>
      <c r="N67" s="37">
        <v>0</v>
      </c>
      <c r="P67" s="16"/>
      <c r="Q67" s="34" t="s">
        <v>297</v>
      </c>
    </row>
    <row r="68" spans="1:17" ht="90" x14ac:dyDescent="0.25">
      <c r="A68" s="12" t="s">
        <v>376</v>
      </c>
      <c r="B68" s="12" t="s">
        <v>478</v>
      </c>
      <c r="C68" s="15">
        <v>3382</v>
      </c>
      <c r="D68" s="12" t="s">
        <v>479</v>
      </c>
      <c r="E68" s="36" t="s">
        <v>3</v>
      </c>
      <c r="F68" s="12"/>
      <c r="G68" s="12" t="s">
        <v>310</v>
      </c>
      <c r="H68" s="24" t="s">
        <v>311</v>
      </c>
      <c r="I68" s="14"/>
      <c r="J68" s="14"/>
      <c r="K68" s="37">
        <f t="shared" si="1"/>
        <v>3.3333333333333335E-3</v>
      </c>
      <c r="L68" s="37">
        <v>0.01</v>
      </c>
      <c r="M68" s="37">
        <v>0</v>
      </c>
      <c r="N68" s="37">
        <v>0</v>
      </c>
      <c r="P68" s="16"/>
      <c r="Q68" s="34" t="s">
        <v>297</v>
      </c>
    </row>
    <row r="69" spans="1:17" ht="90" x14ac:dyDescent="0.25">
      <c r="A69" s="12" t="s">
        <v>376</v>
      </c>
      <c r="B69" s="12" t="s">
        <v>480</v>
      </c>
      <c r="C69" s="15">
        <v>3391</v>
      </c>
      <c r="D69" s="12" t="s">
        <v>481</v>
      </c>
      <c r="E69" s="36" t="s">
        <v>3</v>
      </c>
      <c r="F69" s="12"/>
      <c r="G69" s="12" t="s">
        <v>310</v>
      </c>
      <c r="H69" s="24" t="s">
        <v>311</v>
      </c>
      <c r="I69" s="14"/>
      <c r="J69" s="14"/>
      <c r="K69" s="37">
        <f t="shared" si="1"/>
        <v>3.3333333333333335E-3</v>
      </c>
      <c r="L69" s="37">
        <v>0.01</v>
      </c>
      <c r="M69" s="37">
        <v>0</v>
      </c>
      <c r="N69" s="37">
        <v>0</v>
      </c>
      <c r="P69" s="16"/>
      <c r="Q69" s="34" t="s">
        <v>297</v>
      </c>
    </row>
    <row r="70" spans="1:17" ht="90" x14ac:dyDescent="0.25">
      <c r="A70" s="12" t="s">
        <v>385</v>
      </c>
      <c r="B70" s="12" t="s">
        <v>482</v>
      </c>
      <c r="C70" s="15">
        <v>3387</v>
      </c>
      <c r="D70" s="12"/>
      <c r="E70" s="36" t="s">
        <v>3</v>
      </c>
      <c r="F70" s="12"/>
      <c r="G70" s="12"/>
      <c r="H70" s="24" t="s">
        <v>284</v>
      </c>
      <c r="I70" s="14"/>
      <c r="J70" s="14"/>
      <c r="K70" s="37">
        <f t="shared" si="1"/>
        <v>3.3333333333333335E-3</v>
      </c>
      <c r="L70" s="37">
        <v>0.01</v>
      </c>
      <c r="M70" s="37">
        <v>0</v>
      </c>
      <c r="N70" s="37">
        <v>0</v>
      </c>
      <c r="P70" s="16"/>
      <c r="Q70" s="34" t="s">
        <v>297</v>
      </c>
    </row>
    <row r="71" spans="1:17" ht="75" x14ac:dyDescent="0.25">
      <c r="A71" s="12" t="s">
        <v>461</v>
      </c>
      <c r="B71" s="12" t="s">
        <v>483</v>
      </c>
      <c r="C71" s="15">
        <v>3396</v>
      </c>
      <c r="D71" s="12"/>
      <c r="E71" s="36" t="s">
        <v>3</v>
      </c>
      <c r="F71" s="12"/>
      <c r="G71" s="20"/>
      <c r="H71" s="25" t="s">
        <v>464</v>
      </c>
      <c r="I71" s="14"/>
      <c r="J71" s="14"/>
      <c r="K71" s="32">
        <f t="shared" si="1"/>
        <v>3.3333333333333335E-3</v>
      </c>
      <c r="L71" s="32">
        <v>0.01</v>
      </c>
      <c r="M71" s="32">
        <v>0</v>
      </c>
      <c r="N71" s="32">
        <v>0</v>
      </c>
      <c r="P71" s="16"/>
      <c r="Q71" s="34" t="s">
        <v>297</v>
      </c>
    </row>
    <row r="72" spans="1:17" ht="90" x14ac:dyDescent="0.25">
      <c r="A72" s="12" t="s">
        <v>261</v>
      </c>
      <c r="B72" s="12" t="s">
        <v>484</v>
      </c>
      <c r="C72" s="15" t="s">
        <v>485</v>
      </c>
      <c r="D72" s="12"/>
      <c r="E72" s="36" t="s">
        <v>3</v>
      </c>
      <c r="F72" s="12"/>
      <c r="G72" s="12"/>
      <c r="H72" s="26" t="s">
        <v>285</v>
      </c>
      <c r="I72" s="14"/>
      <c r="J72" s="14"/>
      <c r="K72" s="32">
        <f t="shared" si="1"/>
        <v>3.3333333333333335E-3</v>
      </c>
      <c r="L72" s="32">
        <v>0.01</v>
      </c>
      <c r="M72" s="32">
        <v>0</v>
      </c>
      <c r="N72" s="32">
        <v>0</v>
      </c>
      <c r="P72" s="16"/>
      <c r="Q72" s="34" t="s">
        <v>297</v>
      </c>
    </row>
    <row r="73" spans="1:17" ht="90" x14ac:dyDescent="0.25">
      <c r="A73" s="12" t="s">
        <v>371</v>
      </c>
      <c r="B73" s="12" t="s">
        <v>486</v>
      </c>
      <c r="C73" s="15">
        <v>3414</v>
      </c>
      <c r="D73" s="12"/>
      <c r="E73" s="36" t="s">
        <v>3</v>
      </c>
      <c r="F73" s="12"/>
      <c r="G73" s="12"/>
      <c r="H73" s="26" t="s">
        <v>375</v>
      </c>
      <c r="I73" s="14"/>
      <c r="J73" s="14"/>
      <c r="K73" s="32">
        <f t="shared" si="1"/>
        <v>3.3333333333333335E-3</v>
      </c>
      <c r="L73" s="32">
        <v>0.01</v>
      </c>
      <c r="M73" s="32">
        <v>0</v>
      </c>
      <c r="N73" s="32">
        <v>0</v>
      </c>
      <c r="P73" s="16"/>
      <c r="Q73" s="34" t="s">
        <v>297</v>
      </c>
    </row>
    <row r="74" spans="1:17" ht="90" x14ac:dyDescent="0.25">
      <c r="A74" s="12" t="s">
        <v>268</v>
      </c>
      <c r="B74" s="12" t="s">
        <v>487</v>
      </c>
      <c r="C74" s="15">
        <v>3421</v>
      </c>
      <c r="D74" s="12"/>
      <c r="E74" s="36" t="s">
        <v>3</v>
      </c>
      <c r="F74" s="12"/>
      <c r="G74" s="12"/>
      <c r="H74" s="25" t="s">
        <v>280</v>
      </c>
      <c r="I74" s="14"/>
      <c r="J74" s="14"/>
      <c r="K74" s="32">
        <f t="shared" si="1"/>
        <v>3.3333333333333335E-3</v>
      </c>
      <c r="L74" s="32">
        <v>0.01</v>
      </c>
      <c r="M74" s="32">
        <v>0</v>
      </c>
      <c r="N74" s="32">
        <v>0</v>
      </c>
      <c r="P74" s="16"/>
      <c r="Q74" s="34" t="s">
        <v>297</v>
      </c>
    </row>
    <row r="75" spans="1:17" ht="90" x14ac:dyDescent="0.25">
      <c r="A75" s="12" t="s">
        <v>298</v>
      </c>
      <c r="B75" s="12" t="s">
        <v>488</v>
      </c>
      <c r="C75" s="15">
        <v>3423</v>
      </c>
      <c r="D75" s="12"/>
      <c r="E75" s="36" t="s">
        <v>3</v>
      </c>
      <c r="F75" s="12"/>
      <c r="G75" s="12"/>
      <c r="H75" s="26" t="s">
        <v>300</v>
      </c>
      <c r="I75" s="14"/>
      <c r="J75" s="14"/>
      <c r="K75" s="32">
        <f t="shared" si="1"/>
        <v>3.3333333333333335E-3</v>
      </c>
      <c r="L75" s="32">
        <v>0.01</v>
      </c>
      <c r="M75" s="32">
        <v>0</v>
      </c>
      <c r="N75" s="32">
        <v>0</v>
      </c>
      <c r="P75" s="16"/>
      <c r="Q75" s="34" t="s">
        <v>297</v>
      </c>
    </row>
    <row r="76" spans="1:17" ht="90" x14ac:dyDescent="0.25">
      <c r="A76" s="12" t="s">
        <v>376</v>
      </c>
      <c r="B76" s="12" t="s">
        <v>489</v>
      </c>
      <c r="C76" s="15">
        <v>3427</v>
      </c>
      <c r="D76" s="12"/>
      <c r="E76" s="36" t="s">
        <v>3</v>
      </c>
      <c r="F76" s="12"/>
      <c r="G76" s="12"/>
      <c r="H76" s="26" t="s">
        <v>311</v>
      </c>
      <c r="I76" s="14"/>
      <c r="J76" s="14"/>
      <c r="K76" s="32">
        <f t="shared" si="1"/>
        <v>3.3333333333333335E-3</v>
      </c>
      <c r="L76" s="32">
        <v>0.01</v>
      </c>
      <c r="M76" s="32">
        <v>0</v>
      </c>
      <c r="N76" s="32">
        <v>0</v>
      </c>
      <c r="P76" s="16"/>
      <c r="Q76" s="34" t="s">
        <v>297</v>
      </c>
    </row>
    <row r="77" spans="1:17" ht="90" x14ac:dyDescent="0.25">
      <c r="A77" s="12" t="s">
        <v>376</v>
      </c>
      <c r="B77" s="12" t="s">
        <v>490</v>
      </c>
      <c r="C77" s="15">
        <v>3433</v>
      </c>
      <c r="D77" s="12"/>
      <c r="E77" s="36" t="s">
        <v>3</v>
      </c>
      <c r="F77" s="12"/>
      <c r="G77" s="12"/>
      <c r="H77" s="26" t="s">
        <v>311</v>
      </c>
      <c r="I77" s="14"/>
      <c r="J77" s="14"/>
      <c r="K77" s="32">
        <f t="shared" si="1"/>
        <v>3.3333333333333335E-3</v>
      </c>
      <c r="L77" s="32">
        <v>0.01</v>
      </c>
      <c r="M77" s="32">
        <v>0</v>
      </c>
      <c r="N77" s="32">
        <v>0</v>
      </c>
      <c r="P77" s="16"/>
      <c r="Q77" s="34" t="s">
        <v>297</v>
      </c>
    </row>
    <row r="78" spans="1:17" ht="30" x14ac:dyDescent="0.25">
      <c r="A78" s="12" t="s">
        <v>385</v>
      </c>
      <c r="B78" s="12" t="s">
        <v>491</v>
      </c>
      <c r="C78" s="15"/>
      <c r="D78" s="12"/>
      <c r="E78" s="12"/>
      <c r="F78" s="12"/>
      <c r="G78" s="12"/>
      <c r="H78" s="24"/>
      <c r="I78" s="14"/>
      <c r="J78" s="14"/>
      <c r="K78" s="32">
        <f t="shared" si="1"/>
        <v>3.3333333333333335E-3</v>
      </c>
      <c r="L78" s="32">
        <v>0.01</v>
      </c>
      <c r="M78" s="32">
        <v>0</v>
      </c>
      <c r="N78" s="32">
        <v>0</v>
      </c>
      <c r="P78" s="16"/>
      <c r="Q78" s="34" t="s">
        <v>297</v>
      </c>
    </row>
    <row r="79" spans="1:17" ht="30" x14ac:dyDescent="0.25">
      <c r="A79" s="12" t="s">
        <v>376</v>
      </c>
      <c r="B79" s="12" t="s">
        <v>492</v>
      </c>
      <c r="C79" s="15"/>
      <c r="D79" s="12"/>
      <c r="E79" s="12"/>
      <c r="F79" s="12"/>
      <c r="G79" s="12"/>
      <c r="H79" s="24"/>
      <c r="I79" s="14"/>
      <c r="J79" s="14"/>
      <c r="K79" s="32">
        <f t="shared" si="1"/>
        <v>3.3333333333333335E-3</v>
      </c>
      <c r="L79" s="32">
        <v>0.01</v>
      </c>
      <c r="M79" s="32">
        <v>0</v>
      </c>
      <c r="N79" s="32">
        <v>0</v>
      </c>
      <c r="P79" s="16"/>
      <c r="Q79" s="34" t="s">
        <v>297</v>
      </c>
    </row>
    <row r="80" spans="1:17" ht="75" x14ac:dyDescent="0.25">
      <c r="A80" s="12" t="s">
        <v>255</v>
      </c>
      <c r="B80" s="12" t="s">
        <v>493</v>
      </c>
      <c r="C80" s="15">
        <v>3461</v>
      </c>
      <c r="D80" s="12" t="s">
        <v>494</v>
      </c>
      <c r="E80" s="36" t="s">
        <v>3</v>
      </c>
      <c r="F80" s="12"/>
      <c r="G80" s="12"/>
      <c r="H80" s="24" t="s">
        <v>279</v>
      </c>
      <c r="I80" s="14"/>
      <c r="J80" s="14"/>
      <c r="K80" s="32">
        <f t="shared" si="1"/>
        <v>3.3333333333333335E-3</v>
      </c>
      <c r="L80" s="32">
        <v>0.01</v>
      </c>
      <c r="M80" s="32">
        <v>0</v>
      </c>
      <c r="N80" s="32">
        <v>0</v>
      </c>
      <c r="P80" s="16"/>
      <c r="Q80" s="34" t="s">
        <v>297</v>
      </c>
    </row>
    <row r="81" spans="1:17" ht="90" x14ac:dyDescent="0.25">
      <c r="A81" s="12" t="s">
        <v>261</v>
      </c>
      <c r="B81" s="12" t="s">
        <v>495</v>
      </c>
      <c r="C81" s="15" t="s">
        <v>496</v>
      </c>
      <c r="D81" s="12" t="s">
        <v>497</v>
      </c>
      <c r="E81" s="36" t="s">
        <v>3</v>
      </c>
      <c r="F81" s="12"/>
      <c r="G81" s="12"/>
      <c r="H81" s="24" t="s">
        <v>285</v>
      </c>
      <c r="I81" s="14"/>
      <c r="J81" s="14"/>
      <c r="K81" s="32">
        <f t="shared" si="1"/>
        <v>3.3333333333333335E-3</v>
      </c>
      <c r="L81" s="32">
        <v>0.01</v>
      </c>
      <c r="M81" s="32">
        <v>0</v>
      </c>
      <c r="N81" s="32">
        <v>0</v>
      </c>
      <c r="P81" s="16"/>
      <c r="Q81" s="34" t="s">
        <v>297</v>
      </c>
    </row>
    <row r="82" spans="1:17" ht="90" x14ac:dyDescent="0.25">
      <c r="A82" s="12" t="s">
        <v>298</v>
      </c>
      <c r="B82" s="12" t="s">
        <v>498</v>
      </c>
      <c r="C82" s="15">
        <v>3487</v>
      </c>
      <c r="D82" s="12" t="s">
        <v>499</v>
      </c>
      <c r="E82" s="36" t="s">
        <v>3</v>
      </c>
      <c r="F82" s="12"/>
      <c r="G82" s="12"/>
      <c r="H82" s="24" t="s">
        <v>300</v>
      </c>
      <c r="I82" s="14"/>
      <c r="J82" s="14"/>
      <c r="K82" s="32">
        <f t="shared" si="1"/>
        <v>3.3333333333333335E-3</v>
      </c>
      <c r="L82" s="32">
        <v>0.01</v>
      </c>
      <c r="M82" s="32">
        <v>0</v>
      </c>
      <c r="N82" s="32">
        <v>0</v>
      </c>
      <c r="P82" s="16"/>
      <c r="Q82" s="16"/>
    </row>
    <row r="83" spans="1:17" ht="90" x14ac:dyDescent="0.25">
      <c r="A83" s="12" t="s">
        <v>314</v>
      </c>
      <c r="B83" s="12" t="s">
        <v>500</v>
      </c>
      <c r="C83" s="15">
        <v>3495</v>
      </c>
      <c r="D83" s="12" t="s">
        <v>501</v>
      </c>
      <c r="E83" s="36" t="s">
        <v>3</v>
      </c>
      <c r="F83" s="12"/>
      <c r="G83" s="12" t="s">
        <v>317</v>
      </c>
      <c r="H83" s="24" t="s">
        <v>318</v>
      </c>
      <c r="I83" s="14"/>
      <c r="J83" s="14"/>
      <c r="K83" s="32">
        <f t="shared" si="1"/>
        <v>3.3333333333333335E-3</v>
      </c>
      <c r="L83" s="32">
        <v>0.01</v>
      </c>
      <c r="M83" s="32">
        <v>0</v>
      </c>
      <c r="N83" s="32">
        <v>0</v>
      </c>
      <c r="P83" s="16"/>
      <c r="Q83" s="16"/>
    </row>
    <row r="84" spans="1:17" ht="60" x14ac:dyDescent="0.25">
      <c r="A84" s="12" t="s">
        <v>502</v>
      </c>
      <c r="B84" s="12" t="s">
        <v>503</v>
      </c>
      <c r="C84" s="15" t="s">
        <v>504</v>
      </c>
      <c r="D84" s="12" t="s">
        <v>505</v>
      </c>
      <c r="E84" s="36" t="s">
        <v>3</v>
      </c>
      <c r="F84" s="12"/>
      <c r="G84" s="12" t="s">
        <v>506</v>
      </c>
      <c r="H84" s="24" t="s">
        <v>507</v>
      </c>
      <c r="I84" s="14"/>
      <c r="J84" s="14"/>
      <c r="K84" s="32">
        <f t="shared" si="1"/>
        <v>3.3333333333333335E-3</v>
      </c>
      <c r="L84" s="32">
        <v>0.01</v>
      </c>
      <c r="M84" s="32">
        <v>0</v>
      </c>
      <c r="N84" s="32">
        <v>0</v>
      </c>
      <c r="P84" s="16"/>
      <c r="Q84" s="16"/>
    </row>
    <row r="85" spans="1:17" ht="90" x14ac:dyDescent="0.25">
      <c r="A85" s="12" t="s">
        <v>376</v>
      </c>
      <c r="B85" s="12" t="s">
        <v>508</v>
      </c>
      <c r="C85" s="15">
        <v>3505</v>
      </c>
      <c r="D85" s="12" t="s">
        <v>509</v>
      </c>
      <c r="E85" s="36" t="s">
        <v>3</v>
      </c>
      <c r="F85" s="12"/>
      <c r="G85" s="12"/>
      <c r="H85" s="24" t="s">
        <v>311</v>
      </c>
      <c r="I85" s="14"/>
      <c r="J85" s="14"/>
      <c r="K85" s="32">
        <f t="shared" si="1"/>
        <v>3.3333333333333335E-3</v>
      </c>
      <c r="L85" s="32">
        <v>0.01</v>
      </c>
      <c r="M85" s="32">
        <v>0</v>
      </c>
      <c r="N85" s="32">
        <v>0</v>
      </c>
      <c r="P85" s="16"/>
      <c r="Q85" s="16"/>
    </row>
    <row r="86" spans="1:17" ht="90" x14ac:dyDescent="0.25">
      <c r="A86" s="12" t="s">
        <v>298</v>
      </c>
      <c r="B86" s="12" t="s">
        <v>510</v>
      </c>
      <c r="C86" s="15">
        <v>3508</v>
      </c>
      <c r="D86" s="12" t="s">
        <v>511</v>
      </c>
      <c r="E86" s="36" t="s">
        <v>3</v>
      </c>
      <c r="F86" s="12"/>
      <c r="G86" s="12"/>
      <c r="H86" s="24" t="s">
        <v>300</v>
      </c>
      <c r="I86" s="14"/>
      <c r="J86" s="14"/>
      <c r="K86" s="32">
        <f t="shared" si="1"/>
        <v>3.3333333333333335E-3</v>
      </c>
      <c r="L86" s="32">
        <v>0.01</v>
      </c>
      <c r="M86" s="32">
        <v>0</v>
      </c>
      <c r="N86" s="32">
        <v>0</v>
      </c>
      <c r="P86" s="16"/>
      <c r="Q86" s="16"/>
    </row>
    <row r="87" spans="1:17" ht="90" x14ac:dyDescent="0.25">
      <c r="A87" s="12" t="s">
        <v>298</v>
      </c>
      <c r="B87" s="12" t="s">
        <v>512</v>
      </c>
      <c r="C87" s="15">
        <v>3526</v>
      </c>
      <c r="D87" s="12" t="s">
        <v>433</v>
      </c>
      <c r="E87" s="36" t="s">
        <v>65</v>
      </c>
      <c r="F87" s="12"/>
      <c r="G87" s="12"/>
      <c r="H87" s="24" t="s">
        <v>300</v>
      </c>
      <c r="I87" s="14"/>
      <c r="J87" s="14">
        <v>46190</v>
      </c>
      <c r="K87" s="32">
        <f t="shared" si="1"/>
        <v>3.3333333333333335E-3</v>
      </c>
      <c r="L87" s="32">
        <v>0.01</v>
      </c>
      <c r="M87" s="32">
        <v>0</v>
      </c>
      <c r="N87" s="32">
        <v>0</v>
      </c>
      <c r="P87" s="16"/>
      <c r="Q87" s="34" t="s">
        <v>545</v>
      </c>
    </row>
    <row r="88" spans="1:17" ht="75" x14ac:dyDescent="0.25">
      <c r="A88" s="12" t="s">
        <v>513</v>
      </c>
      <c r="B88" s="12" t="s">
        <v>514</v>
      </c>
      <c r="C88" s="15" t="s">
        <v>515</v>
      </c>
      <c r="D88" s="12" t="s">
        <v>516</v>
      </c>
      <c r="E88" s="36" t="s">
        <v>3</v>
      </c>
      <c r="F88" s="12"/>
      <c r="G88" s="12"/>
      <c r="H88" s="24" t="s">
        <v>517</v>
      </c>
      <c r="I88" s="14"/>
      <c r="J88" s="14"/>
      <c r="K88" s="32">
        <f t="shared" si="1"/>
        <v>3.3333333333333335E-3</v>
      </c>
      <c r="L88" s="32">
        <v>0.01</v>
      </c>
      <c r="M88" s="32">
        <v>0</v>
      </c>
      <c r="N88" s="32">
        <v>0</v>
      </c>
      <c r="P88" s="16"/>
      <c r="Q88" s="16"/>
    </row>
    <row r="89" spans="1:17" ht="90" x14ac:dyDescent="0.25">
      <c r="A89" s="12" t="s">
        <v>298</v>
      </c>
      <c r="B89" s="12" t="s">
        <v>518</v>
      </c>
      <c r="C89" s="15">
        <v>3547</v>
      </c>
      <c r="D89" s="12" t="s">
        <v>184</v>
      </c>
      <c r="E89" s="36" t="s">
        <v>3</v>
      </c>
      <c r="F89" s="12"/>
      <c r="G89" s="12"/>
      <c r="H89" s="24" t="s">
        <v>300</v>
      </c>
      <c r="I89" s="14"/>
      <c r="J89" s="14"/>
      <c r="K89" s="32">
        <f t="shared" ref="K89:K95" si="2">AVERAGE(L89:N89)</f>
        <v>3.3333333333333335E-3</v>
      </c>
      <c r="L89" s="32">
        <v>0.01</v>
      </c>
      <c r="M89" s="32">
        <v>0</v>
      </c>
      <c r="N89" s="32">
        <v>0</v>
      </c>
      <c r="P89" s="16"/>
      <c r="Q89" s="16"/>
    </row>
    <row r="90" spans="1:17" ht="105" x14ac:dyDescent="0.25">
      <c r="A90" s="12" t="s">
        <v>519</v>
      </c>
      <c r="B90" s="12" t="s">
        <v>520</v>
      </c>
      <c r="C90" s="15" t="s">
        <v>67</v>
      </c>
      <c r="D90" s="12" t="s">
        <v>521</v>
      </c>
      <c r="E90" s="36" t="s">
        <v>3</v>
      </c>
      <c r="F90" s="12"/>
      <c r="G90" s="12" t="s">
        <v>423</v>
      </c>
      <c r="H90" s="24" t="s">
        <v>424</v>
      </c>
      <c r="I90" s="14"/>
      <c r="J90" s="14"/>
      <c r="K90" s="32">
        <f t="shared" si="2"/>
        <v>3.3333333333333335E-3</v>
      </c>
      <c r="L90" s="32">
        <v>0.01</v>
      </c>
      <c r="M90" s="32">
        <v>0</v>
      </c>
      <c r="N90" s="32">
        <v>0</v>
      </c>
      <c r="P90" s="16"/>
      <c r="Q90" s="16"/>
    </row>
    <row r="91" spans="1:17" ht="90" x14ac:dyDescent="0.25">
      <c r="A91" s="12" t="s">
        <v>298</v>
      </c>
      <c r="B91" s="12" t="s">
        <v>522</v>
      </c>
      <c r="C91" s="15">
        <v>3561</v>
      </c>
      <c r="D91" s="12" t="s">
        <v>523</v>
      </c>
      <c r="E91" s="36" t="s">
        <v>3</v>
      </c>
      <c r="F91" s="12"/>
      <c r="G91" s="12"/>
      <c r="H91" s="24" t="s">
        <v>300</v>
      </c>
      <c r="I91" s="14"/>
      <c r="J91" s="14"/>
      <c r="K91" s="32">
        <f t="shared" si="2"/>
        <v>3.3333333333333335E-3</v>
      </c>
      <c r="L91" s="32">
        <v>0.01</v>
      </c>
      <c r="M91" s="32">
        <v>0</v>
      </c>
      <c r="N91" s="32">
        <v>0</v>
      </c>
      <c r="P91" s="16"/>
      <c r="Q91" s="16"/>
    </row>
    <row r="92" spans="1:17" ht="90" x14ac:dyDescent="0.25">
      <c r="A92" s="12" t="s">
        <v>97</v>
      </c>
      <c r="B92" s="12" t="s">
        <v>524</v>
      </c>
      <c r="C92" s="15" t="s">
        <v>67</v>
      </c>
      <c r="D92" s="12" t="s">
        <v>525</v>
      </c>
      <c r="E92" s="36" t="s">
        <v>3</v>
      </c>
      <c r="F92" s="12"/>
      <c r="G92" s="12"/>
      <c r="H92" s="24" t="s">
        <v>526</v>
      </c>
      <c r="I92" s="14"/>
      <c r="J92" s="14"/>
      <c r="K92" s="32">
        <f t="shared" si="2"/>
        <v>3.3333333333333335E-3</v>
      </c>
      <c r="L92" s="32">
        <v>0.01</v>
      </c>
      <c r="M92" s="32">
        <v>0</v>
      </c>
      <c r="N92" s="32">
        <v>0</v>
      </c>
      <c r="P92" s="16"/>
      <c r="Q92" s="16"/>
    </row>
    <row r="93" spans="1:17" ht="75" x14ac:dyDescent="0.25">
      <c r="A93" s="12" t="s">
        <v>352</v>
      </c>
      <c r="B93" s="12" t="s">
        <v>527</v>
      </c>
      <c r="C93" s="15" t="s">
        <v>543</v>
      </c>
      <c r="D93" s="12" t="s">
        <v>528</v>
      </c>
      <c r="E93" s="36" t="s">
        <v>3</v>
      </c>
      <c r="F93" s="12"/>
      <c r="G93" s="12" t="s">
        <v>356</v>
      </c>
      <c r="H93" s="24" t="s">
        <v>529</v>
      </c>
      <c r="I93" s="14"/>
      <c r="J93" s="14"/>
      <c r="K93" s="32">
        <f t="shared" si="2"/>
        <v>3.3333333333333335E-3</v>
      </c>
      <c r="L93" s="32">
        <v>0.01</v>
      </c>
      <c r="M93" s="32">
        <v>0</v>
      </c>
      <c r="N93" s="32">
        <v>0</v>
      </c>
      <c r="P93" s="16"/>
      <c r="Q93" s="16"/>
    </row>
    <row r="94" spans="1:17" ht="90" x14ac:dyDescent="0.25">
      <c r="A94" s="12" t="s">
        <v>530</v>
      </c>
      <c r="B94" s="12" t="s">
        <v>531</v>
      </c>
      <c r="C94" s="15" t="s">
        <v>544</v>
      </c>
      <c r="D94" s="12" t="s">
        <v>294</v>
      </c>
      <c r="E94" s="36" t="s">
        <v>3</v>
      </c>
      <c r="F94" s="12"/>
      <c r="G94" s="12" t="s">
        <v>277</v>
      </c>
      <c r="H94" s="24" t="s">
        <v>276</v>
      </c>
      <c r="I94" s="14"/>
      <c r="J94" s="14"/>
      <c r="K94" s="32">
        <f t="shared" si="2"/>
        <v>3.3333333333333335E-3</v>
      </c>
      <c r="L94" s="32">
        <v>0.01</v>
      </c>
      <c r="M94" s="32">
        <v>0</v>
      </c>
      <c r="N94" s="32">
        <v>0</v>
      </c>
      <c r="P94" s="16"/>
      <c r="Q94" s="16"/>
    </row>
    <row r="95" spans="1:17" ht="90" x14ac:dyDescent="0.25">
      <c r="A95" s="12" t="s">
        <v>314</v>
      </c>
      <c r="B95" s="12" t="s">
        <v>532</v>
      </c>
      <c r="C95" s="15">
        <v>3614</v>
      </c>
      <c r="D95" s="12" t="s">
        <v>533</v>
      </c>
      <c r="E95" s="36" t="s">
        <v>3</v>
      </c>
      <c r="F95" s="12"/>
      <c r="G95" s="12"/>
      <c r="H95" s="24" t="s">
        <v>318</v>
      </c>
      <c r="I95" s="14"/>
      <c r="J95" s="14"/>
      <c r="K95" s="32">
        <f t="shared" si="2"/>
        <v>3.3333333333333335E-3</v>
      </c>
      <c r="L95" s="32">
        <v>0.01</v>
      </c>
      <c r="M95" s="32">
        <v>0</v>
      </c>
      <c r="N95" s="32">
        <v>0</v>
      </c>
      <c r="P95" s="16"/>
      <c r="Q95" s="16"/>
    </row>
    <row r="96" spans="1:17" ht="90" x14ac:dyDescent="0.25">
      <c r="A96" s="12" t="s">
        <v>376</v>
      </c>
      <c r="B96" s="12" t="s">
        <v>534</v>
      </c>
      <c r="C96" s="15">
        <v>3623</v>
      </c>
      <c r="D96" s="12" t="s">
        <v>538</v>
      </c>
      <c r="E96" s="36" t="s">
        <v>3</v>
      </c>
      <c r="F96" s="12"/>
      <c r="G96" s="12"/>
      <c r="H96" s="24" t="s">
        <v>311</v>
      </c>
      <c r="I96" s="14"/>
      <c r="J96" s="14"/>
      <c r="K96" s="32">
        <f t="shared" ref="K96" si="3">AVERAGE(L96:N96)</f>
        <v>3.3333333333333335E-3</v>
      </c>
      <c r="L96" s="32">
        <v>0.01</v>
      </c>
      <c r="M96" s="32">
        <v>0</v>
      </c>
      <c r="N96" s="32">
        <v>0</v>
      </c>
      <c r="P96" s="16"/>
      <c r="Q96" s="16"/>
    </row>
    <row r="97" spans="1:17" ht="90" x14ac:dyDescent="0.25">
      <c r="A97" s="12" t="s">
        <v>385</v>
      </c>
      <c r="B97" s="12" t="s">
        <v>535</v>
      </c>
      <c r="C97" s="15">
        <v>3634</v>
      </c>
      <c r="D97" s="12" t="s">
        <v>539</v>
      </c>
      <c r="E97" s="36" t="s">
        <v>3</v>
      </c>
      <c r="F97" s="12"/>
      <c r="G97" s="12"/>
      <c r="H97" s="24" t="s">
        <v>284</v>
      </c>
      <c r="I97" s="14"/>
      <c r="J97" s="14"/>
      <c r="K97" s="32">
        <f t="shared" ref="K97:K99" si="4">AVERAGE(L97:N97)</f>
        <v>3.3333333333333335E-3</v>
      </c>
      <c r="L97" s="32">
        <v>0.01</v>
      </c>
      <c r="M97" s="32">
        <v>0</v>
      </c>
      <c r="N97" s="32">
        <v>0</v>
      </c>
      <c r="P97" s="16"/>
      <c r="Q97" s="16"/>
    </row>
    <row r="98" spans="1:17" ht="90" x14ac:dyDescent="0.25">
      <c r="A98" s="12" t="s">
        <v>376</v>
      </c>
      <c r="B98" s="12" t="s">
        <v>536</v>
      </c>
      <c r="C98" s="15">
        <v>3650</v>
      </c>
      <c r="D98" s="12" t="s">
        <v>540</v>
      </c>
      <c r="E98" s="36" t="s">
        <v>3</v>
      </c>
      <c r="F98" s="12"/>
      <c r="G98" s="12"/>
      <c r="H98" s="24" t="s">
        <v>311</v>
      </c>
      <c r="I98" s="14"/>
      <c r="J98" s="14"/>
      <c r="K98" s="32">
        <f t="shared" si="4"/>
        <v>3.3333333333333335E-3</v>
      </c>
      <c r="L98" s="32">
        <v>0.01</v>
      </c>
      <c r="M98" s="32">
        <v>0</v>
      </c>
      <c r="N98" s="32">
        <v>0</v>
      </c>
      <c r="P98" s="16"/>
      <c r="Q98" s="16"/>
    </row>
    <row r="99" spans="1:17" ht="90" x14ac:dyDescent="0.25">
      <c r="A99" s="12" t="s">
        <v>91</v>
      </c>
      <c r="B99" s="12" t="s">
        <v>537</v>
      </c>
      <c r="C99" s="15">
        <v>3663</v>
      </c>
      <c r="D99" s="12" t="s">
        <v>380</v>
      </c>
      <c r="E99" s="36" t="s">
        <v>3</v>
      </c>
      <c r="F99" s="12"/>
      <c r="G99" s="12"/>
      <c r="H99" s="24" t="s">
        <v>288</v>
      </c>
      <c r="I99" s="14"/>
      <c r="J99" s="14"/>
      <c r="K99" s="32">
        <f t="shared" si="4"/>
        <v>3.3333333333333335E-3</v>
      </c>
      <c r="L99" s="32">
        <v>0.01</v>
      </c>
      <c r="M99" s="32">
        <v>0</v>
      </c>
      <c r="N99" s="32">
        <v>0</v>
      </c>
      <c r="P99" s="16"/>
      <c r="Q99" s="16"/>
    </row>
    <row r="100" spans="1:17" x14ac:dyDescent="0.25">
      <c r="A100" s="12" t="s">
        <v>261</v>
      </c>
      <c r="B100" s="12" t="s">
        <v>542</v>
      </c>
      <c r="C100" s="15" t="s">
        <v>541</v>
      </c>
      <c r="D100" s="12"/>
      <c r="E100" s="36"/>
      <c r="F100" s="12"/>
      <c r="G100" s="12"/>
      <c r="H100" s="24"/>
      <c r="I100" s="14"/>
      <c r="J100" s="14"/>
      <c r="K100" s="37" t="e">
        <f>AVERAGE(L100:N100)</f>
        <v>#DIV/0!</v>
      </c>
      <c r="L100" s="37"/>
      <c r="M100" s="37"/>
      <c r="N100" s="37"/>
      <c r="P100" s="16"/>
      <c r="Q100" s="16"/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sheetPr codeName="Sheet18"/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256</v>
      </c>
      <c r="B1" s="18" t="s">
        <v>257</v>
      </c>
      <c r="C1" s="19" t="s">
        <v>258</v>
      </c>
      <c r="D1" s="18" t="s">
        <v>254</v>
      </c>
      <c r="E1" s="30" t="s">
        <v>3</v>
      </c>
      <c r="F1" s="18"/>
      <c r="G1" s="18" t="s">
        <v>260</v>
      </c>
      <c r="H1" s="26" t="s">
        <v>259</v>
      </c>
      <c r="I1" s="31">
        <v>45853</v>
      </c>
      <c r="J1" s="31"/>
      <c r="K1" s="32">
        <f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sheetPr codeName="Sheet19"/>
  <dimension ref="A1:O1"/>
  <sheetViews>
    <sheetView workbookViewId="0">
      <selection sqref="A1:XFD1"/>
    </sheetView>
  </sheetViews>
  <sheetFormatPr defaultRowHeight="15" x14ac:dyDescent="0.25"/>
  <sheetData>
    <row r="1" spans="1:15" ht="270" x14ac:dyDescent="0.25">
      <c r="A1" s="12" t="s">
        <v>245</v>
      </c>
      <c r="B1" s="12" t="s">
        <v>246</v>
      </c>
      <c r="C1" s="15" t="s">
        <v>248</v>
      </c>
      <c r="D1" s="12"/>
      <c r="E1" s="22" t="s">
        <v>3</v>
      </c>
      <c r="F1" s="12"/>
      <c r="G1" s="12" t="s">
        <v>249</v>
      </c>
      <c r="H1" s="24" t="s">
        <v>250</v>
      </c>
      <c r="I1" s="14"/>
      <c r="J1" s="14"/>
      <c r="K1" s="23">
        <f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sheetPr codeName="Sheet20"/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252</v>
      </c>
      <c r="I1" s="3"/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238</v>
      </c>
      <c r="H2" s="25" t="s">
        <v>237</v>
      </c>
    </row>
    <row r="3" spans="1:15" ht="105" x14ac:dyDescent="0.25">
      <c r="G3" s="20" t="s">
        <v>242</v>
      </c>
      <c r="H3" s="2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sheetPr codeName="Sheet21"/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sheetPr codeName="Sheet22"/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65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165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65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253</v>
      </c>
    </row>
    <row r="10" spans="1:14" ht="150" x14ac:dyDescent="0.25">
      <c r="A10" t="s">
        <v>261</v>
      </c>
      <c r="G10" s="20" t="s">
        <v>263</v>
      </c>
      <c r="H10" s="25" t="s">
        <v>262</v>
      </c>
    </row>
    <row r="11" spans="1:14" ht="180" x14ac:dyDescent="0.25">
      <c r="A11" t="s">
        <v>264</v>
      </c>
      <c r="G11" t="s">
        <v>266</v>
      </c>
      <c r="H11" s="2" t="s">
        <v>265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>AVERAGE(L2:N2)</f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240</v>
      </c>
      <c r="H5" s="26" t="s">
        <v>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50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7"/>
  <sheetViews>
    <sheetView topLeftCell="A4" zoomScale="85" zoomScaleNormal="85" workbookViewId="0">
      <selection activeCell="B9" sqref="B9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7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9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>AVERAGE(L5:N5)</f>
        <v>3.3333333333333335E-3</v>
      </c>
      <c r="L5" s="1">
        <v>0.01</v>
      </c>
      <c r="M5" s="1">
        <v>0</v>
      </c>
      <c r="N5" s="1">
        <v>0</v>
      </c>
    </row>
    <row r="6" spans="1:14" ht="90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7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7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90" x14ac:dyDescent="0.25">
      <c r="A9" t="s">
        <v>210</v>
      </c>
      <c r="G9" t="s">
        <v>155</v>
      </c>
      <c r="H9" s="2" t="s">
        <v>154</v>
      </c>
    </row>
    <row r="10" spans="1:14" ht="9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251</v>
      </c>
      <c r="I11" t="s">
        <v>216</v>
      </c>
      <c r="J11" s="3">
        <v>45804</v>
      </c>
      <c r="K11" s="1">
        <f>AVERAGE(L11:N11)</f>
        <v>3.3333333333333335E-3</v>
      </c>
      <c r="L11" s="1">
        <v>0.01</v>
      </c>
      <c r="M11" s="1">
        <v>0</v>
      </c>
      <c r="N11" s="1">
        <v>0</v>
      </c>
    </row>
    <row r="12" spans="1:14" ht="120" x14ac:dyDescent="0.25">
      <c r="A12" s="35" t="s">
        <v>271</v>
      </c>
      <c r="B12" t="s">
        <v>272</v>
      </c>
      <c r="C12">
        <v>2547</v>
      </c>
      <c r="D12" t="s">
        <v>273</v>
      </c>
      <c r="E12" t="s">
        <v>50</v>
      </c>
      <c r="G12" t="s">
        <v>274</v>
      </c>
      <c r="H12" s="2" t="s">
        <v>270</v>
      </c>
      <c r="I12" s="3">
        <v>45993</v>
      </c>
      <c r="J12" s="3">
        <v>46003</v>
      </c>
      <c r="K12" s="1">
        <f>AVERAGE(L12:N12)</f>
        <v>3.3333333333333335E-3</v>
      </c>
      <c r="L12" s="1">
        <v>0.01</v>
      </c>
      <c r="M12" s="1">
        <v>0</v>
      </c>
      <c r="N12" s="1">
        <v>0</v>
      </c>
    </row>
    <row r="17" spans="8:8" x14ac:dyDescent="0.25">
      <c r="H17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247</v>
      </c>
      <c r="G7" s="20" t="s">
        <v>244</v>
      </c>
      <c r="H7" s="25" t="s">
        <v>243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J3" sqref="J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235</v>
      </c>
      <c r="H3" s="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 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2026-06-09T10:09:53Z</dcterms:modified>
</cp:coreProperties>
</file>