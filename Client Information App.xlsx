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AEC47CF9-E339-40B4-92C8-CD2DA6353FD6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2" i="2" l="1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2" i="3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<sst xmlns="http://schemas.openxmlformats.org/spreadsheetml/2006/main" count="1232" uniqueCount="623">
  <si>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</si>
  <si>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</si>
  <si>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</si>
  <si>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</si>
  <si>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</si>
  <si>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</si>
  <si>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</si>
  <si>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</si>
  <si>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</si>
  <si>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</si>
  <si>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</si>
  <si>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</si>
  <si>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</si>
  <si>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</si>
  <si>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</si>
  <si>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</si>
  <si>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</si>
  <si>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</si>
  <si>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</si>
  <si>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</si>
  <si>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</si>
  <si>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</si>
  <si>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</si>
  <si>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</si>
  <si>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</si>
  <si>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</si>
  <si>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</si>
  <si>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</si>
  <si>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</si>
  <si>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</si>
  <si>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</si>
  <si>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</si>
  <si>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</si>
  <si>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</si>
  <si>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</si>
  <si>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</si>
  <si>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</si>
  <si>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</si>
  <si>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</si>
  <si>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</si>
  <si>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</si>
  <si>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</si>
  <si>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</si>
  <si>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</si>
  <si>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</si>
  <si>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</si>
  <si>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</si>
  <si>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</si>
  <si>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</si>
  <si>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</si>
  <si>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</si>
  <si>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</si>
  <si>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</si>
  <si>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</si>
  <si>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</si>
  <si>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</si>
  <si>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</si>
  <si>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</si>
  <si>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</si>
  <si>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</si>
  <si>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</si>
  <si>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</si>
  <si>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</si>
  <si>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</si>
  <si>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</si>
  <si>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</si>
  <si>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</si>
  <si>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</si>
  <si>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</si>
  <si>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</si>
  <si>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</si>
  <si>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</si>
  <si>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</si>
  <si>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</si>
  <si>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</si>
  <si>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</si>
  <si>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</si>
  <si>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</si>
  <si>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</si>
  <si>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</si>
  <si>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</si>
  <si>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</si>
  <si>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</si>
  <si>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</si>
  <si>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</si>
  <si>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</si>
  <si>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</si>
  <si>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</si>
  <si>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</si>
  <si>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</si>
  <si>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</si>
  <si>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</si>
  <si>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</si>
  <si>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</si>
  <si>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</si>
  <si>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</si>
  <si>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</si>
  <si>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</si>
  <si>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</si>
  <si>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</si>
  <si>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</si>
  <si>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</si>
  <si>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</si>
  <si>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</si>
  <si>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</si>
  <si>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</si>
  <si>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</si>
  <si>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</si>
  <si>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</si>
  <si>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</si>
  <si>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</si>
  <si>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</si>
  <si>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</si>
  <si>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</si>
  <si>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</si>
  <si>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</si>
  <si>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</si>
  <si>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</si>
  <si>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</si>
  <si>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</si>
  <si>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</si>
  <si>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</si>
  <si>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</si>
  <si>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</si>
  <si>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</si>
  <si>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</si>
  <si>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</si>
  <si>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</si>
  <si>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</si>
  <si>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</si>
  <si>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</si>
  <si>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</si>
  <si>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</si>
  <si>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</si>
  <si>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</si>
  <si>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</si>
  <si>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</si>
  <si>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</si>
  <si>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</si>
  <si>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</si>
  <si>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</si>
  <si>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</si>
  <si>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</si>
  <si>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</si>
  <si>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</si>
  <si>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</si>
  <si>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</si>
  <si>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</si>
  <si>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</si>
  <si>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</si>
  <si>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</si>
  <si>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</si>
  <si>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</si>
  <si>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</si>
  <si>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</si>
  <si>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</si>
  <si>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</si>
  <si>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</si>
  <si>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</si>
  <si>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</si>
  <si>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</si>
  <si>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</si>
  <si>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</si>
  <si>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</si>
  <si>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</si>
  <si>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</si>
  <si>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</si>
  <si>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</si>
  <si>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</si>
  <si>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</si>
  <si>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</si>
  <si>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</si>
  <si>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</si>
  <si>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</si>
  <si>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</si>
  <si>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</si>
  <si>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</si>
  <si>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</si>
  <si>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</si>
  <si>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</si>
  <si>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</si>
  <si>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</si>
  <si>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</si>
  <si>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</si>
  <si>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</si>
  <si>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</si>
  <si>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</si>
  <si>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</si>
  <si>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</si>
  <si>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</si>
  <si>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</si>
  <si>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</si>
  <si>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</si>
  <si>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</si>
  <si>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</si>
  <si>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</si>
  <si>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</si>
  <si>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</si>
  <si>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</si>
  <si>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</si>
  <si>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</si>
  <si>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</si>
  <si>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</si>
  <si>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</si>
  <si>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</si>
  <si>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</si>
  <si>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</si>
  <si>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</si>
  <si>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</si>
  <si>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</si>
  <si>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</si>
  <si>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</si>
  <si>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</si>
  <si>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</si>
  <si>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</si>
  <si>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</si>
  <si>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</si>
  <si>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</si>
  <si>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</si>
  <si>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</si>
  <si>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</si>
  <si>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</si>
  <si>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</si>
  <si>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</si>
  <si>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</si>
  <si>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</si>
  <si>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</si>
  <si>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</si>
  <si>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</si>
  <si>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</si>
  <si>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</si>
  <si>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</si>
  <si>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</si>
  <si>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</si>
  <si>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</si>
  <si>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</si>
  <si>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</si>
  <si>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</si>
  <si>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</si>
  <si>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</si>
  <si>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</si>
  <si>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</si>
  <si>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</si>
  <si>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</si>
  <si>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</si>
  <si>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</si>
  <si>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</si>
  <si>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</si>
  <si>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</si>
  <si>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</si>
  <si>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</si>
  <si>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</si>
  <si>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</si>
  <si>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</si>
  <si>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</si>
  <si>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</si>
  <si>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</si>
  <si>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</si>
  <si>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</si>
  <si>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</si>
  <si>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</si>
  <si>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</si>
  <si>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</si>
  <si>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</si>
  <si>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</si>
  <si>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</si>
  <si>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</si>
  <si>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</si>
  <si>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</si>
  <si>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</si>
  <si>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</si>
  <si>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</si>
  <si>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</si>
  <si>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</si>
  <si>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</si>
  <si>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</si>
  <si>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</si>
  <si>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</si>
  <si>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</si>
  <si>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</si>
  <si>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</si>
  <si>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</si>
  <si>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</si>
  <si>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</si>
  <si>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</si>
  <si>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</si>
  <si>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DA10 0B</t>
  </si>
  <si>
    <t>St George Plc
,Camden Goods Yard,
Chalk Farm Road, Chalk Farm
,Camden Town,London, NW1 8EH
Contact: Arek +44 (0) 7534 515 939</t>
  </si>
  <si>
    <t xml:space="preserve">Thurrock 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</si>
  <si>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</si>
  <si>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</si>
  <si>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</si>
  <si>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</si>
  <si>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</si>
  <si>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</si>
  <si>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McAleer &amp; Rushe Contracts UK Ltd
 (For FCS Facades)
 ,Broadway Central, PBSA,
200 Renfield Street,
 Glasgow, G2 3BW
Contact: Jakub +44 (0) 7772 728 234</t>
  </si>
  <si>
    <t>SO-2026</t>
  </si>
  <si>
    <t>McAleer &amp; Rushe Contracts UK Ltd
(For FCS Facades)
Stroudley Walk
E3 3EW
Jakub - +44 (0) 7772 728 234</t>
  </si>
  <si>
    <t>SO-2035</t>
  </si>
  <si>
    <t>Corner Brackets</t>
  </si>
  <si>
    <t>SO-2036</t>
  </si>
  <si>
    <t>GF L1 Subframe (Additional Brackets + GF L1 E&amp;N Sub-Frame)</t>
  </si>
  <si>
    <t>Melliss Avenue</t>
  </si>
  <si>
    <t>SO-2038</t>
  </si>
  <si>
    <t>TW9 4BZ</t>
  </si>
  <si>
    <t>McAleer &amp; Rushe Site
(For FCS Facades)
Mellis Avenue
Kew
TW9 4BZ
Piotr Slowiak +44 (0) 7968 773 582</t>
  </si>
  <si>
    <t>Mock Up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</si>
  <si>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</si>
  <si>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</si>
  <si>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</si>
  <si>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</si>
  <si>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</si>
  <si>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</si>
  <si>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</si>
  <si>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</si>
  <si>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</si>
  <si>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</si>
  <si>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</si>
  <si>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</si>
  <si>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</si>
  <si>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</si>
  <si>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</si>
  <si>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</si>
  <si>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</si>
  <si>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</si>
  <si>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</si>
  <si>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</si>
  <si>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</si>
  <si>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</si>
  <si>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</si>
  <si>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</si>
  <si>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</si>
  <si>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</si>
  <si>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</si>
  <si>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</si>
  <si>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</si>
  <si>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</si>
  <si>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</si>
  <si>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</si>
  <si>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</si>
  <si>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</si>
  <si>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</si>
  <si>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</si>
  <si>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</si>
  <si>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</si>
  <si>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</si>
  <si>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</si>
  <si>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</si>
  <si>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</si>
  <si>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</si>
  <si>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</si>
  <si>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</si>
  <si>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</si>
  <si>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</si>
  <si>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</si>
  <si>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</si>
  <si>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</si>
  <si>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</si>
  <si>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</si>
  <si>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</si>
  <si>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</si>
  <si>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</si>
  <si>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</si>
  <si>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</si>
  <si>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order_id</t>
  </si>
  <si>
    <t>status</t>
  </si>
  <si>
    <t>timestamp</t>
  </si>
  <si>
    <t>Delivery Address</t>
  </si>
  <si>
    <t>10/02/2026
08:34</t>
  </si>
  <si>
    <t>SO-2058</t>
  </si>
  <si>
    <t>Infills - Various Cladding</t>
  </si>
  <si>
    <t>11/02/2026
07:15</t>
  </si>
  <si>
    <t>Corinthian House</t>
  </si>
  <si>
    <t>SO-2059</t>
  </si>
  <si>
    <t>P.O.CHC002</t>
  </si>
  <si>
    <t>Perforated Panels</t>
  </si>
  <si>
    <t>CR0 2BX</t>
  </si>
  <si>
    <t>EK Construction Limited / TBL Roofing Limited
Corinthian House
17 Lansdowne Road
Croydon
CR0 2BX
Sebastian, +44 (0) 7851 334 852</t>
  </si>
  <si>
    <t>The Paddock</t>
  </si>
  <si>
    <t>SO-2060</t>
  </si>
  <si>
    <t>PO00501</t>
  </si>
  <si>
    <t>PO3 5PL</t>
  </si>
  <si>
    <t>Dale Crowsley- E9C39A64
ship2me, Unit 1 Quadra Point,
Sharps Close, Anchorage Park,
Portsmouth, PO3 5PL
Dale Crowsley
07781 132223</t>
  </si>
  <si>
    <t>SO-2061</t>
  </si>
  <si>
    <t>P.O.CHC003</t>
  </si>
  <si>
    <t>11/02/2026
8:55</t>
  </si>
  <si>
    <t xml:space="preserve"> (For FCS Facades)</t>
  </si>
  <si>
    <t xml:space="preserve"> ,Broadway Central, PBSA,</t>
  </si>
  <si>
    <t>200 Renfield Street,</t>
  </si>
  <si>
    <t xml:space="preserve"> Glasgow, G2 3BW</t>
  </si>
  <si>
    <t>Contact: Jakub +44 (0) 7772 728 234</t>
  </si>
  <si>
    <t>Kladworx Ltd
Rose Court
Wenlock Close
High Wycombe
HP13 7PL
Alfie Kelmendi +44 (0) 7908 701 565</t>
  </si>
  <si>
    <t>Imphouse Ltd
Chapel Lane
Merstone
Isle of Wight
PO30  3BZ
Mike +44 (0) 7966 279 880</t>
  </si>
  <si>
    <t>Louvre Brise Soleil</t>
  </si>
  <si>
    <t>SO-2062</t>
  </si>
  <si>
    <t>P29950S</t>
  </si>
  <si>
    <t>Extra Cill &amp; Panel</t>
  </si>
  <si>
    <t>C/o Fleetwood Architectural Aluminium
Union Square
Stoddart Street
Shieldfield
NE2 1BS
Seb +44 (0) 7903 098 924</t>
  </si>
  <si>
    <t>SO-2063</t>
  </si>
  <si>
    <t>PO41325-708-BYS</t>
  </si>
  <si>
    <t>Brackets GF (BYS)</t>
  </si>
  <si>
    <t>SO-2064</t>
  </si>
  <si>
    <t>PO41325-709-BYS</t>
  </si>
  <si>
    <t>Corner Brackets (BYS)</t>
  </si>
  <si>
    <t>SO-2065</t>
  </si>
  <si>
    <t>PO41325-711-BYS</t>
  </si>
  <si>
    <t>Extra Brackets (BYS)</t>
  </si>
  <si>
    <t>SO-2066</t>
  </si>
  <si>
    <t>Soffit Panels</t>
  </si>
  <si>
    <t>Lyndhurst Road</t>
  </si>
  <si>
    <t>SO-2067</t>
  </si>
  <si>
    <t>PO00502</t>
  </si>
  <si>
    <t>Lindfield Place, 22 Lyndhurst
Rd, Worthing, BN11 2DF
Alfie +44 (0) 7908 701 565</t>
  </si>
  <si>
    <t>SO-2068</t>
  </si>
  <si>
    <t>SO-2069</t>
  </si>
  <si>
    <t>Minories</t>
  </si>
  <si>
    <t>SO-2070</t>
  </si>
  <si>
    <t>TW4 6DH</t>
  </si>
  <si>
    <t>FCS Facades
The Ranch
Next to Heathrow Gymnastics
back of CB Hounslow
TW4 6DH
Piotr +44 (0) 7471 273 458</t>
  </si>
  <si>
    <t>Aberdeen Lane</t>
  </si>
  <si>
    <t>SO-2071</t>
  </si>
  <si>
    <t>Coping Support</t>
  </si>
  <si>
    <t>N5 2EJ</t>
  </si>
  <si>
    <t>McAleer &amp; Rushe Contracts UK Ltd
(For FCS Facades)
Aberdeen Lane
Islington
N5 2EJ
Pawel +44 (0) 7971 679 193</t>
  </si>
  <si>
    <t>SO-2072</t>
  </si>
  <si>
    <t>Angle with PCV Block</t>
  </si>
  <si>
    <t>Talbot Mill</t>
  </si>
  <si>
    <t>SO-2073</t>
  </si>
  <si>
    <t>Sub-Frame Mill 1</t>
  </si>
  <si>
    <t>44 Ellesmere Street, Manchester, M15 4JY
Contact: Callum +44 (0) 7787 155 920
 +44 (0) 1246 588 334</t>
  </si>
  <si>
    <t>Sub-Frame Mill 2</t>
  </si>
  <si>
    <t>SO-2074</t>
  </si>
  <si>
    <t>Damaged Panel</t>
  </si>
  <si>
    <t>SO-2075</t>
  </si>
  <si>
    <t>Termination Bar</t>
  </si>
  <si>
    <t>London Duck</t>
  </si>
  <si>
    <t>SO-2076</t>
  </si>
  <si>
    <t>Sub-Frame New Building</t>
  </si>
  <si>
    <t xml:space="preserve"> EW1 2SF</t>
  </si>
  <si>
    <t>St George North london Ltd
(For FCS Facades)
London Dock
St George Construction Site
Pennington Street, EW1 2SF
Arek 07534 515 939</t>
  </si>
  <si>
    <t>SO-2077</t>
  </si>
  <si>
    <t>Substation Flashing</t>
  </si>
  <si>
    <t>Selly Oak</t>
  </si>
  <si>
    <t>SO-2078</t>
  </si>
  <si>
    <t>Block A Plenums</t>
  </si>
  <si>
    <t>B29 6SJ</t>
  </si>
  <si>
    <t>McAleer &amp; Rushe Site
(For FCS Facades)
1 Chapel Lane
Selly Oak
B29 6SJ
Ruslan +44 (0) 7896 059 740</t>
  </si>
  <si>
    <t>Richmond Mews</t>
  </si>
  <si>
    <t>SO-2079</t>
  </si>
  <si>
    <t>PO00504</t>
  </si>
  <si>
    <t>SE6 3JH</t>
  </si>
  <si>
    <t>1 – 8 Richmond Mews
Fordmill Road
London
SE6 3JH
Contact – Alfie 07908 701565</t>
  </si>
  <si>
    <t>SO-2080</t>
  </si>
  <si>
    <t>Spandrel Panels</t>
  </si>
  <si>
    <t>SO-2081</t>
  </si>
  <si>
    <t>Brackets &amp; Flashings</t>
  </si>
  <si>
    <t>SO-2082</t>
  </si>
  <si>
    <t>PO41325-740-BYS</t>
  </si>
  <si>
    <t>Yellow Storage Brackets - Revision C04</t>
  </si>
  <si>
    <t>SO-2083</t>
  </si>
  <si>
    <t>PO41325-744-BYS</t>
  </si>
  <si>
    <t>YS - Bracket and Flashing</t>
  </si>
  <si>
    <t>Gun Wharf</t>
  </si>
  <si>
    <t>SO-2084</t>
  </si>
  <si>
    <t>PO00505</t>
  </si>
  <si>
    <t xml:space="preserve"> PO1 3TZ</t>
  </si>
  <si>
    <t>Gun Quays,
 Park Road,
 Portsmouth,
 PO1 3TZ
Alan Davies +44 (0) 7834 198 845</t>
  </si>
  <si>
    <t>SO-2085</t>
  </si>
  <si>
    <t>Plenums for brick</t>
  </si>
  <si>
    <t>SO-2086</t>
  </si>
  <si>
    <t>Blk B Window Brackets</t>
  </si>
  <si>
    <t>SO-2087</t>
  </si>
  <si>
    <t>DT53</t>
  </si>
  <si>
    <t>SO-2089</t>
  </si>
  <si>
    <t>Panels Mill 1</t>
  </si>
  <si>
    <t>SO-2089.1</t>
  </si>
  <si>
    <t>Panels Mill 2</t>
  </si>
  <si>
    <t>SO-2090</t>
  </si>
  <si>
    <t>Last CW Flashings</t>
  </si>
  <si>
    <t>V. Lema Prebook</t>
  </si>
  <si>
    <t>Kennington</t>
  </si>
  <si>
    <t>SO-2092</t>
  </si>
  <si>
    <t>CP595</t>
  </si>
  <si>
    <t>Panels</t>
  </si>
  <si>
    <t>SE11 5SY</t>
  </si>
  <si>
    <t>8A Harleyford Street
Oval
London
SE11 5SY
Richard +44 (0) 7854 920 942</t>
  </si>
  <si>
    <t>SO-2094</t>
  </si>
  <si>
    <t>External Flashings</t>
  </si>
  <si>
    <t>SO-2095</t>
  </si>
  <si>
    <t>SO-2096</t>
  </si>
  <si>
    <t>DT66</t>
  </si>
  <si>
    <t>Reveals Brackets</t>
  </si>
  <si>
    <t>Bosden Stockport</t>
  </si>
  <si>
    <t>SO-2097</t>
  </si>
  <si>
    <t>Fins</t>
  </si>
  <si>
    <t>SK3 8AB</t>
  </si>
  <si>
    <t>Oak Construction 
Delivery Gate
Mulberry Mount Street
Stockport
SK3 8AB</t>
  </si>
  <si>
    <t>SO-2097.1</t>
  </si>
  <si>
    <t xml:space="preserve">Canopy </t>
  </si>
  <si>
    <t>Greenwich Millennium Village</t>
  </si>
  <si>
    <t>SO-2098</t>
  </si>
  <si>
    <t>V-Groove Panels</t>
  </si>
  <si>
    <t>SE10 0JT</t>
  </si>
  <si>
    <t>McAleer &amp; Rushe Site
(For FCS Facades)
Greenwich Millennium Village
Plots 401 &amp; 403
SE10 0JT
Piotr +44 (0) 7471 273 458</t>
  </si>
  <si>
    <t>London Dock</t>
  </si>
  <si>
    <t>SO-2099</t>
  </si>
  <si>
    <t>BR14 Brackets</t>
  </si>
  <si>
    <t>SO-2100</t>
  </si>
  <si>
    <t>Plenums</t>
  </si>
  <si>
    <t>SO-2101</t>
  </si>
  <si>
    <t>Final Brackets</t>
  </si>
  <si>
    <t>SO-2102</t>
  </si>
  <si>
    <t>Door Brackets</t>
  </si>
  <si>
    <t>Mellis Avenue</t>
  </si>
  <si>
    <t>SO-2103</t>
  </si>
  <si>
    <t>Plenums for Brick</t>
  </si>
  <si>
    <t>SO-2104</t>
  </si>
  <si>
    <t>DT78</t>
  </si>
  <si>
    <t>Brackets Prod. 2</t>
  </si>
  <si>
    <t>SO-2105</t>
  </si>
  <si>
    <t>L2 Subframe</t>
  </si>
  <si>
    <t>SO-2106</t>
  </si>
  <si>
    <t>DT81</t>
  </si>
  <si>
    <t>Brackets Prod. 3</t>
  </si>
  <si>
    <t>SO-2107</t>
  </si>
  <si>
    <t>Plates for Doors</t>
  </si>
  <si>
    <t>SO-2108</t>
  </si>
  <si>
    <t>Dummy Plenums</t>
  </si>
  <si>
    <t>SO-2109</t>
  </si>
  <si>
    <t>P.O.CHC009</t>
  </si>
  <si>
    <t>Extra Panels &amp; Renew Corner</t>
  </si>
  <si>
    <t>SO-2110</t>
  </si>
  <si>
    <t>Coping</t>
  </si>
  <si>
    <t>SO-2111</t>
  </si>
  <si>
    <t>P. Klubowicz Prebook</t>
  </si>
  <si>
    <t>Wensleydale Av</t>
  </si>
  <si>
    <t>SO-2112</t>
  </si>
  <si>
    <t>Flat panels</t>
  </si>
  <si>
    <t>N1 5QJ</t>
  </si>
  <si>
    <t>Flat 9
28–36 Orsman Road
London
N1 5QJ
Victor +44 (0) 7979 368 584</t>
  </si>
  <si>
    <t>SO-2113</t>
  </si>
  <si>
    <t>Brackets &amp; Shims</t>
  </si>
  <si>
    <t>A.Szyposz &amp; W.Damski Prebook</t>
  </si>
  <si>
    <t>SO-2114</t>
  </si>
  <si>
    <t>SO-2115</t>
  </si>
  <si>
    <t>SO-2116</t>
  </si>
  <si>
    <t>Subframe -Brackets &amp; Top Hats</t>
  </si>
  <si>
    <t>SO-2117</t>
  </si>
  <si>
    <t>Block B HDPE Blocks</t>
  </si>
  <si>
    <t xml:space="preserve">BS14 1FZ </t>
  </si>
  <si>
    <t>MPB Facades Ltd
BoKlok Housing Site Office
Airport Road 
Bristol 
BS14 1FZ 
What3words/// Maple.bronze.corner
Martin 07725900420</t>
  </si>
  <si>
    <t>UB8 2XW</t>
  </si>
  <si>
    <t>Sarogirg Ltd
Wellington House 
4-10 Cowley Road 
Uxbridge 
UB8 2XW
Contact: Andrian 07438888813</t>
  </si>
  <si>
    <t>SO-2118</t>
  </si>
  <si>
    <t>Block B HDPE Blocks Prod. 2</t>
  </si>
  <si>
    <t>SO-2119</t>
  </si>
  <si>
    <t>DT96</t>
  </si>
  <si>
    <t>T-Rails</t>
  </si>
  <si>
    <t>SO-2120</t>
  </si>
  <si>
    <t>CW Brackets L5-7</t>
  </si>
  <si>
    <t>SO-2121</t>
  </si>
  <si>
    <t>Block C Copings</t>
  </si>
  <si>
    <t>SO-2122</t>
  </si>
  <si>
    <t>Block C Cladding</t>
  </si>
  <si>
    <t>SO-2123</t>
  </si>
  <si>
    <t>SO-2124</t>
  </si>
  <si>
    <t>CA2919</t>
  </si>
  <si>
    <t>Block B Panels</t>
  </si>
  <si>
    <t>Lancelote Pl (Lancaster Road)</t>
  </si>
  <si>
    <t>SO-2125</t>
  </si>
  <si>
    <t>Lancaster Road Panels</t>
  </si>
  <si>
    <t>W11 1QJ</t>
  </si>
  <si>
    <t>39 Lancaster Road
W11 1QJ
Noel +44 (0) 7580 181 106</t>
  </si>
  <si>
    <t>SO-2126</t>
  </si>
  <si>
    <t>Block B Flat Wall Panels</t>
  </si>
  <si>
    <t>SO-2127</t>
  </si>
  <si>
    <t>Plenums Prod. 2</t>
  </si>
  <si>
    <t>SO-2128</t>
  </si>
  <si>
    <t>PO00519</t>
  </si>
  <si>
    <t>Upstands</t>
  </si>
  <si>
    <t>1 – 8 Richmond Mews
Fordmill Road
London
SE6 3JH
Contact – Peter 07309 102159</t>
  </si>
  <si>
    <t>SO-2129</t>
  </si>
  <si>
    <t>Slatted Panel Tubes</t>
  </si>
  <si>
    <t>SO-2130</t>
  </si>
  <si>
    <t>CA2920</t>
  </si>
  <si>
    <t>Block B Panels Prod. 2</t>
  </si>
  <si>
    <t>SO-2131</t>
  </si>
  <si>
    <t>June Site</t>
  </si>
  <si>
    <t>SO-2132</t>
  </si>
  <si>
    <t>Gough Street</t>
  </si>
  <si>
    <t>SO-2133</t>
  </si>
  <si>
    <t>P1 Understructure</t>
  </si>
  <si>
    <t>McAleer &amp; Rushe Site
(For FCS Facades)
Gough Street
Birmingham, B1 1HN
Ruslan +44 (0) 7896 059 740</t>
  </si>
  <si>
    <t>SO-2134</t>
  </si>
  <si>
    <t>Additional Coping</t>
  </si>
  <si>
    <t>McAleer &amp; Rushe Contracts UK Ltd
(For FCS Facades)
Southbank Place, Building 5
Belvedere Road
Southbank SE1 7AF
Tom Plago 07889 215 253</t>
  </si>
  <si>
    <t>SO-2135</t>
  </si>
  <si>
    <t>Blk B Plenums</t>
  </si>
  <si>
    <t>Parts Delivery
Level 1 Priority</t>
  </si>
  <si>
    <t>SO-2136</t>
  </si>
  <si>
    <t>Blk A CW Brackets</t>
  </si>
  <si>
    <t>SO-2137</t>
  </si>
  <si>
    <t>CA2922</t>
  </si>
  <si>
    <t>Block B Panels Prod. 3</t>
  </si>
  <si>
    <t>SO-2138</t>
  </si>
  <si>
    <t>P2 Understructure</t>
  </si>
  <si>
    <t>SO-2139</t>
  </si>
  <si>
    <t>CW Spandrels &amp; Trays</t>
  </si>
  <si>
    <t>SO-2140</t>
  </si>
  <si>
    <t>G3&amp;G4 L0-3 Brackets</t>
  </si>
  <si>
    <t>SO-2141</t>
  </si>
  <si>
    <t>SO-2142</t>
  </si>
  <si>
    <t>SO-2143</t>
  </si>
  <si>
    <t>DT112</t>
  </si>
  <si>
    <t>SO-2144</t>
  </si>
  <si>
    <t>SO-2145</t>
  </si>
  <si>
    <t>SO-2146</t>
  </si>
  <si>
    <t>SO-2147</t>
  </si>
  <si>
    <t>SO-2148</t>
  </si>
  <si>
    <t>SO-2149</t>
  </si>
  <si>
    <t>SO-2150</t>
  </si>
  <si>
    <t>SO-2151</t>
  </si>
  <si>
    <t>SO-2152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</si>
</sst>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8" fillId="4" borderId="0" applyNumberFormat="0" applyBorder="0" applyAlignment="0" applyProtection="0"/>
  </cellStyleXfs>
  <cellXfs count="40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9" fontId="6" fillId="2" borderId="4" xfId="0" applyNumberFormat="1" applyFont="1" applyFill="1" applyBorder="1" applyAlignment="1">
      <alignment horizontal="center" vertical="center"/>
    </xf>
    <xf numFmtId="0" fontId="8" fillId="4" borderId="0" xfId="1" applyAlignment="1">
      <alignment horizontal="left" vertical="center" wrapText="1"/>
    </xf>
  </cellXfs>
  <cellStyles count="2">
    <cellStyle name="Neutral" xfId="1" builtinId="28"/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122" totalsRowShown="0" headerRowDxfId="18" dataDxfId="17">
  <autoFilter ref="A1:Q122" xr:uid="{D238CE20-76DC-4853-9E42-BB88690E3CED}"/>
  <tableColumns count="17">
    <tableColumn id="1" xr3:uid="{867090DC-1FE0-4EF0-A0C0-448920317853}" name="Project" dataDxfId="15"/>
    <tableColumn id="2" xr3:uid="{ED71812C-E204-4FE0-ADEA-0CD9B3ADA2A3}" name="Project SO" dataDxfId="14"/>
    <tableColumn id="3" xr3:uid="{32502B80-458D-4EF6-9ABC-03678A6F8302}" name="order_id" dataDxfId="13"/>
    <tableColumn id="4" xr3:uid="{111DD528-EE5F-4D8B-B63F-9A842570498D}" name="Materials" dataDxfId="12"/>
    <tableColumn id="5" xr3:uid="{F88C7351-33D9-47AC-88E6-09F8FC43FCF9}" name="status" dataDxfId="11"/>
    <tableColumn id="6" xr3:uid="{AF541036-9D61-4BFA-9B88-B69C899AAAFF}" name="Phase" dataDxfId="10"/>
    <tableColumn id="7" xr3:uid="{3C9800BD-A315-48D1-9DB1-AF15B6CE2464}" name="Post Code" dataDxfId="9"/>
    <tableColumn id="8" xr3:uid="{35381005-95B2-4E9D-9D09-3585A5DE3E35}" name="Delivery Address" dataDxfId="8"/>
    <tableColumn id="9" xr3:uid="{21A0DBD3-20BC-48FA-8FF6-DB3AFE9382A5}" name="PO Date" dataDxfId="7"/>
    <tableColumn id="10" xr3:uid="{3F0B7287-A10E-4CE5-9A48-B72BC577D0D0}" name="Estimated Delivery Date" dataDxfId="6"/>
    <tableColumn id="11" xr3:uid="{D53CD43D-3F51-4446-BA3F-C95DF42223C1}" name="Current Update" dataDxfId="5">
      <calculatedColumnFormula>AVERAGE(L2:N2)</calculatedColumnFormula>
    </tableColumn>
    <tableColumn id="12" xr3:uid="{6527AB69-9477-41B6-8941-2FE273E12275}" name="Production" dataDxfId="4"/>
    <tableColumn id="13" xr3:uid="{6436B5E8-E98E-47E2-B70D-DD9AA467C3A5}" name="PPC" dataDxfId="3"/>
    <tableColumn id="14" xr3:uid="{D893399C-2909-4B8A-9538-32D22CFA1B25}" name="Dispatch" dataDxfId="2"/>
    <tableColumn id="15" xr3:uid="{F6302424-51FB-45BD-9F34-61C700C8D161}" name="Welded" dataDxfId="1"/>
    <tableColumn id="16" xr3:uid="{9BE99484-0D9D-4749-B30B-7C533699CF52}" name="Critical Information" dataDxfId="0"/>
    <tableColumn id="17" xr3:uid="{294DD3E6-5EEC-42DD-AE99-1AC9AB8E1DEE}" name="timestamp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122"/>
  <sheetViews>
    <sheetView tabSelected="1" zoomScale="85" zoomScaleNormal="85" workbookViewId="0">
      <pane ySplit="1" topLeftCell="A109" activePane="bottomLeft" state="frozen"/>
      <selection pane="bottomLeft" activeCell="Q46" sqref="Q46:Q122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364</v>
      </c>
      <c r="D1" s="12" t="s">
        <v>33</v>
      </c>
      <c r="E1" s="12" t="s">
        <v>365</v>
      </c>
      <c r="F1" s="13" t="s">
        <v>31</v>
      </c>
      <c r="G1" s="12" t="s">
        <v>30</v>
      </c>
      <c r="H1" s="12" t="s">
        <v>367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366</v>
      </c>
    </row>
    <row r="2" spans="1:17" ht="30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386</v>
      </c>
      <c r="I2" s="14">
        <v>45987</v>
      </c>
      <c r="J2" s="14"/>
      <c r="K2" s="23">
        <f t="shared" ref="K2:K65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  <c r="Q2" s="16"/>
    </row>
    <row r="3" spans="1:17" x14ac:dyDescent="0.25">
      <c r="A3" s="12" t="s">
        <v>281</v>
      </c>
      <c r="B3" s="12" t="s">
        <v>280</v>
      </c>
      <c r="C3" s="15" t="s">
        <v>282</v>
      </c>
      <c r="D3" s="12" t="s">
        <v>289</v>
      </c>
      <c r="E3" s="12" t="s">
        <v>3</v>
      </c>
      <c r="F3" s="12"/>
      <c r="G3" s="12" t="s">
        <v>284</v>
      </c>
      <c r="H3" s="24" t="s">
        <v>387</v>
      </c>
      <c r="I3" s="14">
        <v>45995</v>
      </c>
      <c r="J3" s="14"/>
      <c r="K3" s="23">
        <f t="shared" si="0"/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  <c r="Q3" s="16"/>
    </row>
    <row r="4" spans="1:17" x14ac:dyDescent="0.25">
      <c r="A4" s="12" t="s">
        <v>290</v>
      </c>
      <c r="B4" s="12" t="s">
        <v>296</v>
      </c>
      <c r="C4" s="15" t="s">
        <v>291</v>
      </c>
      <c r="D4" s="12" t="s">
        <v>294</v>
      </c>
      <c r="E4" s="20" t="s">
        <v>3</v>
      </c>
      <c r="F4" s="12"/>
      <c r="G4" s="12" t="s">
        <v>292</v>
      </c>
      <c r="H4" s="24" t="s">
        <v>388</v>
      </c>
      <c r="I4" s="14">
        <v>46030</v>
      </c>
      <c r="J4" s="14"/>
      <c r="K4" s="32">
        <f t="shared" si="0"/>
        <v>3.3333333333333335E-3</v>
      </c>
      <c r="L4" s="32">
        <v>0.01</v>
      </c>
      <c r="M4" s="32">
        <v>0</v>
      </c>
      <c r="N4" s="32">
        <v>0</v>
      </c>
      <c r="P4" s="16"/>
      <c r="Q4" s="16"/>
    </row>
    <row r="5" spans="1:17" x14ac:dyDescent="0.25">
      <c r="A5" s="12" t="s">
        <v>268</v>
      </c>
      <c r="B5" s="12" t="s">
        <v>298</v>
      </c>
      <c r="C5" s="15">
        <v>2711</v>
      </c>
      <c r="D5" s="12" t="s">
        <v>299</v>
      </c>
      <c r="E5" s="20" t="s">
        <v>3</v>
      </c>
      <c r="F5" s="12"/>
      <c r="G5" s="12" t="s">
        <v>269</v>
      </c>
      <c r="H5" s="24" t="s">
        <v>389</v>
      </c>
      <c r="I5" s="14">
        <v>46037</v>
      </c>
      <c r="J5" s="14"/>
      <c r="K5" s="32">
        <f t="shared" si="0"/>
        <v>3.3333333333333335E-3</v>
      </c>
      <c r="L5" s="32">
        <v>0.01</v>
      </c>
      <c r="M5" s="32">
        <v>0</v>
      </c>
      <c r="N5" s="32">
        <v>0</v>
      </c>
      <c r="P5" s="16"/>
      <c r="Q5" s="16"/>
    </row>
    <row r="6" spans="1:17" x14ac:dyDescent="0.25">
      <c r="A6" s="12" t="s">
        <v>268</v>
      </c>
      <c r="B6" s="12" t="s">
        <v>300</v>
      </c>
      <c r="C6" s="15">
        <v>2721</v>
      </c>
      <c r="D6" s="12" t="s">
        <v>301</v>
      </c>
      <c r="E6" s="20" t="s">
        <v>3</v>
      </c>
      <c r="F6" s="12"/>
      <c r="G6" s="12" t="s">
        <v>269</v>
      </c>
      <c r="H6" s="24" t="s">
        <v>390</v>
      </c>
      <c r="I6" s="14">
        <v>46037</v>
      </c>
      <c r="J6" s="14"/>
      <c r="K6" s="32">
        <f t="shared" si="0"/>
        <v>3.3333333333333335E-3</v>
      </c>
      <c r="L6" s="32">
        <v>0.01</v>
      </c>
      <c r="M6" s="32">
        <v>0</v>
      </c>
      <c r="N6" s="32">
        <v>0</v>
      </c>
      <c r="O6" s="12" t="s">
        <v>188</v>
      </c>
      <c r="P6" s="16"/>
      <c r="Q6" s="16"/>
    </row>
    <row r="7" spans="1:17" ht="90" x14ac:dyDescent="0.25">
      <c r="A7" s="12" t="s">
        <v>302</v>
      </c>
      <c r="B7" s="12" t="s">
        <v>303</v>
      </c>
      <c r="C7" s="15">
        <v>2746</v>
      </c>
      <c r="D7" s="12" t="s">
        <v>306</v>
      </c>
      <c r="E7" s="20" t="s">
        <v>3</v>
      </c>
      <c r="F7" s="12"/>
      <c r="G7" s="12" t="s">
        <v>304</v>
      </c>
      <c r="H7" s="24" t="s">
        <v>305</v>
      </c>
      <c r="I7" s="14">
        <v>46042</v>
      </c>
      <c r="J7" s="14"/>
      <c r="K7" s="32">
        <f t="shared" si="0"/>
        <v>3.3333333333333335E-3</v>
      </c>
      <c r="L7" s="32">
        <v>0.01</v>
      </c>
      <c r="M7" s="32">
        <v>0</v>
      </c>
      <c r="N7" s="32">
        <v>0</v>
      </c>
      <c r="O7" s="12" t="s">
        <v>188</v>
      </c>
      <c r="P7" s="16"/>
      <c r="Q7" s="16"/>
    </row>
    <row r="8" spans="1:17" ht="90" x14ac:dyDescent="0.25">
      <c r="A8" s="12" t="s">
        <v>91</v>
      </c>
      <c r="B8" s="12" t="s">
        <v>307</v>
      </c>
      <c r="C8" s="15">
        <v>2781</v>
      </c>
      <c r="D8" s="12" t="s">
        <v>308</v>
      </c>
      <c r="E8" s="20" t="s">
        <v>3</v>
      </c>
      <c r="F8" s="12"/>
      <c r="G8" s="12" t="s">
        <v>157</v>
      </c>
      <c r="H8" s="24" t="s">
        <v>341</v>
      </c>
      <c r="I8" s="14">
        <v>46045</v>
      </c>
      <c r="J8" s="14"/>
      <c r="K8" s="32">
        <f t="shared" si="0"/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  <c r="Q8" s="16"/>
    </row>
    <row r="9" spans="1:17" ht="90" x14ac:dyDescent="0.25">
      <c r="A9" s="12" t="s">
        <v>268</v>
      </c>
      <c r="B9" s="12" t="s">
        <v>309</v>
      </c>
      <c r="C9" s="15">
        <v>2787</v>
      </c>
      <c r="D9" s="12" t="s">
        <v>311</v>
      </c>
      <c r="E9" s="20" t="s">
        <v>3</v>
      </c>
      <c r="F9" s="12"/>
      <c r="G9" s="12" t="s">
        <v>269</v>
      </c>
      <c r="H9" s="24" t="s">
        <v>295</v>
      </c>
      <c r="I9" s="14">
        <v>46045</v>
      </c>
      <c r="J9" s="14"/>
      <c r="K9" s="32">
        <f t="shared" si="0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  <c r="Q9" s="16"/>
    </row>
    <row r="10" spans="1:17" ht="90" x14ac:dyDescent="0.25">
      <c r="A10" s="12" t="s">
        <v>302</v>
      </c>
      <c r="B10" s="12" t="s">
        <v>310</v>
      </c>
      <c r="C10" s="15">
        <v>2800</v>
      </c>
      <c r="D10" s="12" t="s">
        <v>312</v>
      </c>
      <c r="E10" s="20" t="s">
        <v>3</v>
      </c>
      <c r="F10" s="12"/>
      <c r="G10" s="12" t="s">
        <v>304</v>
      </c>
      <c r="H10" s="24" t="s">
        <v>305</v>
      </c>
      <c r="I10" s="14">
        <v>46049</v>
      </c>
      <c r="J10" s="14"/>
      <c r="K10" s="32">
        <f t="shared" si="0"/>
        <v>3.3333333333333335E-3</v>
      </c>
      <c r="L10" s="32">
        <v>0.01</v>
      </c>
      <c r="M10" s="32">
        <v>0</v>
      </c>
      <c r="N10" s="32">
        <v>0</v>
      </c>
      <c r="P10" s="16"/>
      <c r="Q10" s="16"/>
    </row>
    <row r="11" spans="1:17" ht="90" x14ac:dyDescent="0.25">
      <c r="A11" s="12" t="s">
        <v>17</v>
      </c>
      <c r="B11" s="12" t="s">
        <v>313</v>
      </c>
      <c r="C11" s="15" t="s">
        <v>314</v>
      </c>
      <c r="D11" s="12" t="s">
        <v>315</v>
      </c>
      <c r="E11" s="20" t="s">
        <v>3</v>
      </c>
      <c r="F11" s="12"/>
      <c r="G11" s="12" t="s">
        <v>189</v>
      </c>
      <c r="H11" s="24" t="s">
        <v>316</v>
      </c>
      <c r="I11" s="14">
        <v>46050</v>
      </c>
      <c r="J11" s="14"/>
      <c r="K11" s="32">
        <f t="shared" si="0"/>
        <v>3.3333333333333335E-3</v>
      </c>
      <c r="L11" s="32">
        <v>0.01</v>
      </c>
      <c r="M11" s="32">
        <v>0</v>
      </c>
      <c r="N11" s="32">
        <v>0</v>
      </c>
      <c r="O11" s="12" t="s">
        <v>188</v>
      </c>
      <c r="P11" s="16"/>
      <c r="Q11" s="16"/>
    </row>
    <row r="12" spans="1:17" ht="150" x14ac:dyDescent="0.25">
      <c r="A12" s="12" t="s">
        <v>317</v>
      </c>
      <c r="B12" s="12" t="s">
        <v>318</v>
      </c>
      <c r="C12" s="15" t="s">
        <v>67</v>
      </c>
      <c r="D12" s="12" t="s">
        <v>320</v>
      </c>
      <c r="E12" s="20" t="s">
        <v>3</v>
      </c>
      <c r="F12" s="12"/>
      <c r="G12" s="12" t="s">
        <v>319</v>
      </c>
      <c r="H12" s="24" t="s">
        <v>342</v>
      </c>
      <c r="I12" s="14">
        <v>46051</v>
      </c>
      <c r="J12" s="14"/>
      <c r="K12" s="32">
        <f t="shared" si="0"/>
        <v>3.3333333333333335E-3</v>
      </c>
      <c r="L12" s="32">
        <v>0.01</v>
      </c>
      <c r="M12" s="32">
        <v>0</v>
      </c>
      <c r="N12" s="32">
        <v>0</v>
      </c>
      <c r="P12" s="16"/>
      <c r="Q12" s="16"/>
    </row>
    <row r="13" spans="1:17" ht="75" x14ac:dyDescent="0.25">
      <c r="A13" s="12" t="s">
        <v>51</v>
      </c>
      <c r="B13" s="12" t="s">
        <v>321</v>
      </c>
      <c r="C13" s="15">
        <v>2814</v>
      </c>
      <c r="D13" s="12" t="s">
        <v>322</v>
      </c>
      <c r="E13" s="20" t="s">
        <v>3</v>
      </c>
      <c r="F13" s="12"/>
      <c r="G13" s="12" t="s">
        <v>53</v>
      </c>
      <c r="H13" s="24" t="s">
        <v>297</v>
      </c>
      <c r="I13" s="14">
        <v>46051</v>
      </c>
      <c r="J13" s="14"/>
      <c r="K13" s="32">
        <f t="shared" si="0"/>
        <v>3.3333333333333335E-3</v>
      </c>
      <c r="L13" s="32">
        <v>0.01</v>
      </c>
      <c r="M13" s="32">
        <v>0</v>
      </c>
      <c r="N13" s="32">
        <v>0</v>
      </c>
      <c r="P13" s="16"/>
      <c r="Q13" s="36" t="s">
        <v>371</v>
      </c>
    </row>
    <row r="14" spans="1:17" ht="45" x14ac:dyDescent="0.25">
      <c r="A14" s="12" t="s">
        <v>281</v>
      </c>
      <c r="B14" s="12" t="s">
        <v>326</v>
      </c>
      <c r="C14" s="15" t="s">
        <v>327</v>
      </c>
      <c r="D14" s="12" t="s">
        <v>328</v>
      </c>
      <c r="E14" s="20" t="s">
        <v>3</v>
      </c>
      <c r="F14" s="12"/>
      <c r="G14" s="12" t="s">
        <v>325</v>
      </c>
      <c r="H14" s="24" t="s">
        <v>323</v>
      </c>
      <c r="I14" s="14">
        <v>46055</v>
      </c>
      <c r="J14" s="14"/>
      <c r="K14" s="32">
        <f t="shared" si="0"/>
        <v>3.3333333333333335E-3</v>
      </c>
      <c r="L14" s="32">
        <v>0.01</v>
      </c>
      <c r="M14" s="32">
        <v>0</v>
      </c>
      <c r="N14" s="32">
        <v>0</v>
      </c>
      <c r="O14" s="12" t="s">
        <v>324</v>
      </c>
      <c r="P14" s="16"/>
      <c r="Q14" s="16"/>
    </row>
    <row r="15" spans="1:17" ht="90" x14ac:dyDescent="0.25">
      <c r="A15" s="12" t="s">
        <v>329</v>
      </c>
      <c r="B15" s="12" t="s">
        <v>330</v>
      </c>
      <c r="C15" s="15" t="s">
        <v>331</v>
      </c>
      <c r="D15" s="12" t="s">
        <v>87</v>
      </c>
      <c r="E15" s="20" t="s">
        <v>3</v>
      </c>
      <c r="F15" s="12"/>
      <c r="G15" s="12" t="s">
        <v>332</v>
      </c>
      <c r="H15" s="24" t="s">
        <v>391</v>
      </c>
      <c r="I15" s="14">
        <v>46055</v>
      </c>
      <c r="J15" s="14"/>
      <c r="K15" s="32">
        <f t="shared" si="0"/>
        <v>3.3333333333333335E-3</v>
      </c>
      <c r="L15" s="32">
        <v>0.01</v>
      </c>
      <c r="M15" s="32">
        <v>0</v>
      </c>
      <c r="N15" s="32">
        <v>0</v>
      </c>
      <c r="O15" s="12" t="s">
        <v>188</v>
      </c>
      <c r="P15" s="16"/>
      <c r="Q15" s="36" t="s">
        <v>368</v>
      </c>
    </row>
    <row r="16" spans="1:17" ht="90" x14ac:dyDescent="0.25">
      <c r="A16" s="12" t="s">
        <v>288</v>
      </c>
      <c r="B16" s="12" t="s">
        <v>333</v>
      </c>
      <c r="C16" s="15">
        <v>2836</v>
      </c>
      <c r="D16" s="12" t="s">
        <v>337</v>
      </c>
      <c r="E16" s="20" t="s">
        <v>3</v>
      </c>
      <c r="F16" s="12"/>
      <c r="G16" s="12" t="s">
        <v>278</v>
      </c>
      <c r="H16" s="24" t="s">
        <v>279</v>
      </c>
      <c r="I16" s="14">
        <v>46056</v>
      </c>
      <c r="J16" s="14"/>
      <c r="K16" s="32">
        <f t="shared" si="0"/>
        <v>3.3333333333333335E-3</v>
      </c>
      <c r="L16" s="32">
        <v>0.01</v>
      </c>
      <c r="M16" s="32">
        <v>0</v>
      </c>
      <c r="N16" s="32">
        <v>0</v>
      </c>
      <c r="P16" s="16"/>
      <c r="Q16" s="16"/>
    </row>
    <row r="17" spans="1:17" ht="90" x14ac:dyDescent="0.25">
      <c r="A17" s="12" t="s">
        <v>261</v>
      </c>
      <c r="B17" s="12" t="s">
        <v>334</v>
      </c>
      <c r="C17" s="15" t="s">
        <v>339</v>
      </c>
      <c r="D17" s="12" t="s">
        <v>338</v>
      </c>
      <c r="E17" s="20" t="s">
        <v>3</v>
      </c>
      <c r="F17" s="12"/>
      <c r="G17" s="12" t="s">
        <v>336</v>
      </c>
      <c r="H17" s="24" t="s">
        <v>335</v>
      </c>
      <c r="I17" s="14">
        <v>46056</v>
      </c>
      <c r="J17" s="14"/>
      <c r="K17" s="32">
        <f t="shared" si="0"/>
        <v>3.3333333333333335E-3</v>
      </c>
      <c r="L17" s="32">
        <v>0.01</v>
      </c>
      <c r="M17" s="32">
        <v>0</v>
      </c>
      <c r="N17" s="32">
        <v>0</v>
      </c>
      <c r="O17" s="12" t="s">
        <v>324</v>
      </c>
      <c r="P17" s="16"/>
      <c r="Q17" s="16"/>
    </row>
    <row r="18" spans="1:17" ht="75" x14ac:dyDescent="0.25">
      <c r="A18" s="12" t="s">
        <v>290</v>
      </c>
      <c r="B18" s="12" t="s">
        <v>340</v>
      </c>
      <c r="C18" s="15" t="s">
        <v>348</v>
      </c>
      <c r="D18" s="12" t="s">
        <v>352</v>
      </c>
      <c r="E18" s="20" t="s">
        <v>3</v>
      </c>
      <c r="F18" s="12"/>
      <c r="G18" s="12" t="s">
        <v>292</v>
      </c>
      <c r="H18" s="24" t="s">
        <v>293</v>
      </c>
      <c r="I18" s="14">
        <v>46058</v>
      </c>
      <c r="J18" s="14"/>
      <c r="K18" s="32">
        <f t="shared" si="0"/>
        <v>3.3333333333333335E-3</v>
      </c>
      <c r="L18" s="32">
        <v>0.01</v>
      </c>
      <c r="M18" s="32">
        <v>0</v>
      </c>
      <c r="N18" s="32">
        <v>0</v>
      </c>
      <c r="P18" s="16"/>
      <c r="Q18" s="16"/>
    </row>
    <row r="19" spans="1:17" ht="90" x14ac:dyDescent="0.25">
      <c r="A19" s="12" t="s">
        <v>288</v>
      </c>
      <c r="B19" s="12" t="s">
        <v>344</v>
      </c>
      <c r="C19" s="15">
        <v>2858</v>
      </c>
      <c r="D19" s="12" t="s">
        <v>337</v>
      </c>
      <c r="E19" s="20" t="s">
        <v>3</v>
      </c>
      <c r="F19" s="12"/>
      <c r="G19" s="12" t="s">
        <v>278</v>
      </c>
      <c r="H19" s="24" t="s">
        <v>279</v>
      </c>
      <c r="I19" s="14">
        <v>46059</v>
      </c>
      <c r="J19" s="14"/>
      <c r="K19" s="32">
        <f t="shared" si="0"/>
        <v>3.3333333333333335E-3</v>
      </c>
      <c r="L19" s="32">
        <v>0.01</v>
      </c>
      <c r="M19" s="32">
        <v>0</v>
      </c>
      <c r="N19" s="32">
        <v>0</v>
      </c>
      <c r="O19" s="12" t="s">
        <v>188</v>
      </c>
      <c r="P19" s="16"/>
      <c r="Q19" s="16"/>
    </row>
    <row r="20" spans="1:17" ht="120" x14ac:dyDescent="0.25">
      <c r="A20" s="12" t="s">
        <v>343</v>
      </c>
      <c r="B20" s="12" t="s">
        <v>345</v>
      </c>
      <c r="C20" s="15" t="s">
        <v>349</v>
      </c>
      <c r="D20" s="12" t="s">
        <v>353</v>
      </c>
      <c r="E20" s="20" t="s">
        <v>3</v>
      </c>
      <c r="F20" s="12"/>
      <c r="G20" s="12" t="s">
        <v>359</v>
      </c>
      <c r="H20" s="24" t="s">
        <v>360</v>
      </c>
      <c r="I20" s="14">
        <v>46059</v>
      </c>
      <c r="J20" s="14"/>
      <c r="K20" s="32">
        <f t="shared" si="0"/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  <c r="Q20" s="16"/>
    </row>
    <row r="21" spans="1:17" ht="90" x14ac:dyDescent="0.25">
      <c r="A21" s="12" t="s">
        <v>281</v>
      </c>
      <c r="B21" s="12" t="s">
        <v>346</v>
      </c>
      <c r="C21" s="15" t="s">
        <v>350</v>
      </c>
      <c r="D21" s="12" t="s">
        <v>354</v>
      </c>
      <c r="E21" s="20" t="s">
        <v>3</v>
      </c>
      <c r="F21" s="12"/>
      <c r="G21" s="12" t="s">
        <v>284</v>
      </c>
      <c r="H21" s="24" t="s">
        <v>283</v>
      </c>
      <c r="I21" s="14">
        <v>46059</v>
      </c>
      <c r="J21" s="14"/>
      <c r="K21" s="32">
        <f t="shared" si="0"/>
        <v>3.3333333333333335E-3</v>
      </c>
      <c r="L21" s="32">
        <v>0.01</v>
      </c>
      <c r="M21" s="32">
        <v>0</v>
      </c>
      <c r="N21" s="32">
        <v>0</v>
      </c>
      <c r="P21" s="16"/>
      <c r="Q21" s="16"/>
    </row>
    <row r="22" spans="1:17" ht="90" x14ac:dyDescent="0.25">
      <c r="A22" s="12" t="s">
        <v>264</v>
      </c>
      <c r="B22" s="12" t="s">
        <v>347</v>
      </c>
      <c r="C22" s="15" t="s">
        <v>351</v>
      </c>
      <c r="D22" s="12" t="s">
        <v>355</v>
      </c>
      <c r="E22" s="20" t="s">
        <v>3</v>
      </c>
      <c r="F22" s="12"/>
      <c r="G22" s="12" t="s">
        <v>286</v>
      </c>
      <c r="H22" s="24" t="s">
        <v>265</v>
      </c>
      <c r="I22" s="14">
        <v>46059</v>
      </c>
      <c r="J22" s="14"/>
      <c r="K22" s="32">
        <f t="shared" si="0"/>
        <v>3.3333333333333335E-3</v>
      </c>
      <c r="L22" s="32">
        <v>0.01</v>
      </c>
      <c r="M22" s="32">
        <v>0</v>
      </c>
      <c r="N22" s="32">
        <v>0</v>
      </c>
      <c r="P22" s="16"/>
      <c r="Q22" s="16"/>
    </row>
    <row r="23" spans="1:17" ht="90" x14ac:dyDescent="0.25">
      <c r="A23" s="12" t="s">
        <v>356</v>
      </c>
      <c r="B23" s="12" t="s">
        <v>357</v>
      </c>
      <c r="C23" s="15" t="s">
        <v>67</v>
      </c>
      <c r="D23" s="12" t="s">
        <v>361</v>
      </c>
      <c r="E23" s="20" t="s">
        <v>3</v>
      </c>
      <c r="F23" s="12"/>
      <c r="G23" s="12" t="s">
        <v>358</v>
      </c>
      <c r="H23" s="24" t="s">
        <v>392</v>
      </c>
      <c r="I23" s="14"/>
      <c r="J23" s="14"/>
      <c r="K23" s="32">
        <f t="shared" si="0"/>
        <v>3.3333333333333335E-3</v>
      </c>
      <c r="L23" s="32">
        <v>0.01</v>
      </c>
      <c r="M23" s="32">
        <v>0</v>
      </c>
      <c r="N23" s="32">
        <v>0</v>
      </c>
      <c r="P23" s="16"/>
      <c r="Q23" s="16"/>
    </row>
    <row r="24" spans="1:17" ht="90" x14ac:dyDescent="0.25">
      <c r="A24" s="12" t="s">
        <v>91</v>
      </c>
      <c r="B24" s="12" t="s">
        <v>362</v>
      </c>
      <c r="C24" s="15">
        <v>2863</v>
      </c>
      <c r="D24" s="12" t="s">
        <v>363</v>
      </c>
      <c r="E24" s="20" t="s">
        <v>3</v>
      </c>
      <c r="F24" s="12"/>
      <c r="G24" s="12" t="s">
        <v>157</v>
      </c>
      <c r="H24" s="24" t="s">
        <v>341</v>
      </c>
      <c r="I24" s="14">
        <v>46062</v>
      </c>
      <c r="J24" s="14"/>
      <c r="K24" s="32">
        <f t="shared" si="0"/>
        <v>3.3333333333333335E-3</v>
      </c>
      <c r="L24" s="32">
        <v>0.01</v>
      </c>
      <c r="M24" s="32">
        <v>0</v>
      </c>
      <c r="N24" s="32">
        <v>0</v>
      </c>
      <c r="P24" s="16"/>
      <c r="Q24" s="16"/>
    </row>
    <row r="25" spans="1:17" ht="75" x14ac:dyDescent="0.25">
      <c r="A25" s="12" t="s">
        <v>255</v>
      </c>
      <c r="B25" s="12" t="s">
        <v>369</v>
      </c>
      <c r="C25" s="15">
        <v>2872</v>
      </c>
      <c r="D25" s="12" t="s">
        <v>370</v>
      </c>
      <c r="E25" s="37" t="s">
        <v>3</v>
      </c>
      <c r="F25" s="12"/>
      <c r="G25" s="12" t="s">
        <v>155</v>
      </c>
      <c r="H25" s="24" t="s">
        <v>287</v>
      </c>
      <c r="I25" s="14">
        <v>46062</v>
      </c>
      <c r="J25" s="14"/>
      <c r="K25" s="38">
        <f t="shared" si="0"/>
        <v>3.3333333333333335E-3</v>
      </c>
      <c r="L25" s="38">
        <v>0.01</v>
      </c>
      <c r="M25" s="38">
        <v>0</v>
      </c>
      <c r="N25" s="38">
        <v>0</v>
      </c>
      <c r="O25" s="12" t="s">
        <v>188</v>
      </c>
      <c r="P25" s="16"/>
      <c r="Q25" s="16"/>
    </row>
    <row r="26" spans="1:17" ht="105" x14ac:dyDescent="0.25">
      <c r="A26" s="12" t="s">
        <v>372</v>
      </c>
      <c r="B26" s="12" t="s">
        <v>373</v>
      </c>
      <c r="C26" s="15" t="s">
        <v>374</v>
      </c>
      <c r="D26" s="12" t="s">
        <v>375</v>
      </c>
      <c r="E26" s="37" t="s">
        <v>3</v>
      </c>
      <c r="F26" s="12"/>
      <c r="G26" s="12" t="s">
        <v>376</v>
      </c>
      <c r="H26" s="24" t="s">
        <v>377</v>
      </c>
      <c r="I26" s="14">
        <v>46063</v>
      </c>
      <c r="J26" s="14"/>
      <c r="K26" s="38">
        <f t="shared" si="0"/>
        <v>3.3333333333333335E-3</v>
      </c>
      <c r="L26" s="38">
        <v>0.01</v>
      </c>
      <c r="M26" s="38">
        <v>0</v>
      </c>
      <c r="N26" s="38">
        <v>0</v>
      </c>
      <c r="O26" s="12" t="s">
        <v>188</v>
      </c>
      <c r="P26" s="16"/>
      <c r="Q26" s="16"/>
    </row>
    <row r="27" spans="1:17" ht="90" x14ac:dyDescent="0.25">
      <c r="A27" s="12" t="s">
        <v>378</v>
      </c>
      <c r="B27" s="12" t="s">
        <v>379</v>
      </c>
      <c r="C27" s="15" t="s">
        <v>380</v>
      </c>
      <c r="D27" s="12" t="s">
        <v>393</v>
      </c>
      <c r="E27" s="37" t="s">
        <v>3</v>
      </c>
      <c r="F27" s="12"/>
      <c r="G27" s="12" t="s">
        <v>381</v>
      </c>
      <c r="H27" s="24" t="s">
        <v>382</v>
      </c>
      <c r="I27" s="14">
        <v>46063</v>
      </c>
      <c r="J27" s="14"/>
      <c r="K27" s="38">
        <f t="shared" si="0"/>
        <v>3.3333333333333335E-3</v>
      </c>
      <c r="L27" s="38">
        <v>0.01</v>
      </c>
      <c r="M27" s="38">
        <v>0</v>
      </c>
      <c r="N27" s="38">
        <v>0</v>
      </c>
      <c r="P27" s="16"/>
      <c r="Q27" s="16"/>
    </row>
    <row r="28" spans="1:17" ht="105" x14ac:dyDescent="0.25">
      <c r="A28" s="12" t="s">
        <v>372</v>
      </c>
      <c r="B28" s="12" t="s">
        <v>383</v>
      </c>
      <c r="C28" s="15" t="s">
        <v>384</v>
      </c>
      <c r="D28" s="12" t="s">
        <v>184</v>
      </c>
      <c r="E28" s="37" t="s">
        <v>3</v>
      </c>
      <c r="F28" s="12"/>
      <c r="G28" s="12" t="s">
        <v>376</v>
      </c>
      <c r="H28" s="24" t="s">
        <v>377</v>
      </c>
      <c r="I28" s="14">
        <v>46064</v>
      </c>
      <c r="J28" s="14"/>
      <c r="K28" s="38">
        <f t="shared" si="0"/>
        <v>3.3333333333333335E-3</v>
      </c>
      <c r="L28" s="38">
        <v>0.01</v>
      </c>
      <c r="M28" s="38">
        <v>0</v>
      </c>
      <c r="N28" s="38">
        <v>0</v>
      </c>
      <c r="P28" s="16"/>
      <c r="Q28" s="16"/>
    </row>
    <row r="29" spans="1:17" ht="105" x14ac:dyDescent="0.25">
      <c r="A29" s="12" t="s">
        <v>148</v>
      </c>
      <c r="B29" s="12" t="s">
        <v>394</v>
      </c>
      <c r="C29" s="15" t="s">
        <v>395</v>
      </c>
      <c r="D29" s="12" t="s">
        <v>396</v>
      </c>
      <c r="E29" s="37" t="s">
        <v>3</v>
      </c>
      <c r="F29" s="12"/>
      <c r="G29" s="12" t="s">
        <v>153</v>
      </c>
      <c r="H29" s="24" t="s">
        <v>397</v>
      </c>
      <c r="I29" s="14">
        <v>46065</v>
      </c>
      <c r="J29" s="14"/>
      <c r="K29" s="38">
        <f t="shared" si="0"/>
        <v>3.3333333333333335E-3</v>
      </c>
      <c r="L29" s="38">
        <v>0.01</v>
      </c>
      <c r="M29" s="38">
        <v>0</v>
      </c>
      <c r="N29" s="38">
        <v>0</v>
      </c>
      <c r="P29" s="16"/>
      <c r="Q29" s="16"/>
    </row>
    <row r="30" spans="1:17" ht="90" x14ac:dyDescent="0.25">
      <c r="A30" s="12" t="s">
        <v>281</v>
      </c>
      <c r="B30" s="12" t="s">
        <v>398</v>
      </c>
      <c r="C30" s="15" t="s">
        <v>399</v>
      </c>
      <c r="D30" s="12" t="s">
        <v>400</v>
      </c>
      <c r="E30" s="37" t="s">
        <v>3</v>
      </c>
      <c r="F30" s="12"/>
      <c r="G30" s="12" t="s">
        <v>284</v>
      </c>
      <c r="H30" s="24" t="s">
        <v>283</v>
      </c>
      <c r="I30" s="14"/>
      <c r="J30" s="14"/>
      <c r="K30" s="38">
        <f t="shared" si="0"/>
        <v>3.3333333333333335E-3</v>
      </c>
      <c r="L30" s="38">
        <v>0.01</v>
      </c>
      <c r="M30" s="38">
        <v>0</v>
      </c>
      <c r="N30" s="38">
        <v>0</v>
      </c>
      <c r="P30" s="16"/>
      <c r="Q30" s="16"/>
    </row>
    <row r="31" spans="1:17" ht="90" x14ac:dyDescent="0.25">
      <c r="A31" s="12" t="s">
        <v>281</v>
      </c>
      <c r="B31" s="12" t="s">
        <v>401</v>
      </c>
      <c r="C31" s="15" t="s">
        <v>402</v>
      </c>
      <c r="D31" s="12" t="s">
        <v>403</v>
      </c>
      <c r="E31" s="37" t="s">
        <v>3</v>
      </c>
      <c r="F31" s="12"/>
      <c r="G31" s="12" t="s">
        <v>284</v>
      </c>
      <c r="H31" s="24" t="s">
        <v>283</v>
      </c>
      <c r="I31" s="14"/>
      <c r="J31" s="14"/>
      <c r="K31" s="38">
        <f t="shared" si="0"/>
        <v>3.3333333333333335E-3</v>
      </c>
      <c r="L31" s="38">
        <v>0.01</v>
      </c>
      <c r="M31" s="38">
        <v>0</v>
      </c>
      <c r="N31" s="38">
        <v>0</v>
      </c>
      <c r="P31" s="16"/>
      <c r="Q31" s="16"/>
    </row>
    <row r="32" spans="1:17" ht="90" x14ac:dyDescent="0.25">
      <c r="A32" s="12" t="s">
        <v>281</v>
      </c>
      <c r="B32" s="12" t="s">
        <v>404</v>
      </c>
      <c r="C32" s="15" t="s">
        <v>405</v>
      </c>
      <c r="D32" s="12" t="s">
        <v>406</v>
      </c>
      <c r="E32" s="37" t="s">
        <v>3</v>
      </c>
      <c r="F32" s="12"/>
      <c r="G32" s="12" t="s">
        <v>284</v>
      </c>
      <c r="H32" s="24" t="s">
        <v>283</v>
      </c>
      <c r="I32" s="14"/>
      <c r="J32" s="14"/>
      <c r="K32" s="38">
        <f t="shared" si="0"/>
        <v>3.3333333333333335E-3</v>
      </c>
      <c r="L32" s="38">
        <v>0.01</v>
      </c>
      <c r="M32" s="38">
        <v>0</v>
      </c>
      <c r="N32" s="38">
        <v>0</v>
      </c>
      <c r="P32" s="16"/>
      <c r="Q32" s="16"/>
    </row>
    <row r="33" spans="1:17" ht="75" x14ac:dyDescent="0.25">
      <c r="A33" s="12" t="s">
        <v>51</v>
      </c>
      <c r="B33" s="12" t="s">
        <v>407</v>
      </c>
      <c r="C33" s="15">
        <v>2904</v>
      </c>
      <c r="D33" s="12" t="s">
        <v>408</v>
      </c>
      <c r="E33" s="37" t="s">
        <v>3</v>
      </c>
      <c r="F33" s="12"/>
      <c r="G33" s="12" t="s">
        <v>53</v>
      </c>
      <c r="H33" s="24" t="s">
        <v>297</v>
      </c>
      <c r="I33" s="14"/>
      <c r="J33" s="14"/>
      <c r="K33" s="38">
        <f t="shared" si="0"/>
        <v>3.3333333333333335E-3</v>
      </c>
      <c r="L33" s="38">
        <v>0.01</v>
      </c>
      <c r="M33" s="38">
        <v>0</v>
      </c>
      <c r="N33" s="38">
        <v>0</v>
      </c>
      <c r="P33" s="16"/>
      <c r="Q33" s="16"/>
    </row>
    <row r="34" spans="1:17" ht="45" x14ac:dyDescent="0.25">
      <c r="A34" s="12" t="s">
        <v>409</v>
      </c>
      <c r="B34" s="12" t="s">
        <v>410</v>
      </c>
      <c r="C34" s="15" t="s">
        <v>411</v>
      </c>
      <c r="D34" s="12" t="s">
        <v>87</v>
      </c>
      <c r="E34" s="37" t="s">
        <v>3</v>
      </c>
      <c r="F34" s="12"/>
      <c r="G34" s="12" t="s">
        <v>185</v>
      </c>
      <c r="H34" s="24" t="s">
        <v>412</v>
      </c>
      <c r="I34" s="14"/>
      <c r="J34" s="14"/>
      <c r="K34" s="38">
        <f t="shared" si="0"/>
        <v>3.3333333333333335E-3</v>
      </c>
      <c r="L34" s="38">
        <v>0.01</v>
      </c>
      <c r="M34" s="38">
        <v>0</v>
      </c>
      <c r="N34" s="38">
        <v>0</v>
      </c>
      <c r="P34" s="16"/>
      <c r="Q34" s="16"/>
    </row>
    <row r="35" spans="1:17" ht="90" x14ac:dyDescent="0.25">
      <c r="A35" s="12" t="s">
        <v>274</v>
      </c>
      <c r="B35" s="12" t="s">
        <v>413</v>
      </c>
      <c r="C35" s="15">
        <v>2912</v>
      </c>
      <c r="D35" s="12" t="s">
        <v>143</v>
      </c>
      <c r="E35" s="37" t="s">
        <v>3</v>
      </c>
      <c r="F35" s="12"/>
      <c r="G35" s="12" t="s">
        <v>278</v>
      </c>
      <c r="H35" s="24" t="s">
        <v>279</v>
      </c>
      <c r="I35" s="14"/>
      <c r="J35" s="14"/>
      <c r="K35" s="38">
        <f t="shared" si="0"/>
        <v>3.3333333333333335E-3</v>
      </c>
      <c r="L35" s="38">
        <v>0.01</v>
      </c>
      <c r="M35" s="38">
        <v>0</v>
      </c>
      <c r="N35" s="38">
        <v>0</v>
      </c>
      <c r="P35" s="16"/>
      <c r="Q35" s="16"/>
    </row>
    <row r="36" spans="1:17" ht="90" x14ac:dyDescent="0.25">
      <c r="A36" s="12" t="s">
        <v>91</v>
      </c>
      <c r="B36" s="12" t="s">
        <v>414</v>
      </c>
      <c r="C36" s="15">
        <v>2913</v>
      </c>
      <c r="D36" s="12" t="s">
        <v>143</v>
      </c>
      <c r="E36" s="37" t="s">
        <v>3</v>
      </c>
      <c r="F36" s="12"/>
      <c r="G36" s="12" t="s">
        <v>157</v>
      </c>
      <c r="H36" s="24" t="s">
        <v>341</v>
      </c>
      <c r="I36" s="14"/>
      <c r="J36" s="14"/>
      <c r="K36" s="38">
        <f t="shared" si="0"/>
        <v>3.3333333333333335E-3</v>
      </c>
      <c r="L36" s="38">
        <v>0.01</v>
      </c>
      <c r="M36" s="38">
        <v>0</v>
      </c>
      <c r="N36" s="38">
        <v>0</v>
      </c>
      <c r="P36" s="16"/>
      <c r="Q36" s="16"/>
    </row>
    <row r="37" spans="1:17" ht="90" x14ac:dyDescent="0.25">
      <c r="A37" s="12" t="s">
        <v>415</v>
      </c>
      <c r="B37" s="12" t="s">
        <v>416</v>
      </c>
      <c r="C37" s="15">
        <v>2914</v>
      </c>
      <c r="D37" s="12" t="s">
        <v>106</v>
      </c>
      <c r="E37" s="37" t="s">
        <v>3</v>
      </c>
      <c r="F37" s="12"/>
      <c r="G37" s="12" t="s">
        <v>417</v>
      </c>
      <c r="H37" s="24" t="s">
        <v>418</v>
      </c>
      <c r="I37" s="14"/>
      <c r="J37" s="14"/>
      <c r="K37" s="38">
        <f t="shared" si="0"/>
        <v>3.3333333333333335E-3</v>
      </c>
      <c r="L37" s="38">
        <v>0.01</v>
      </c>
      <c r="M37" s="38">
        <v>0</v>
      </c>
      <c r="N37" s="38">
        <v>0</v>
      </c>
      <c r="P37" s="16"/>
      <c r="Q37" s="16"/>
    </row>
    <row r="38" spans="1:17" ht="90" x14ac:dyDescent="0.25">
      <c r="A38" s="12" t="s">
        <v>419</v>
      </c>
      <c r="B38" s="12" t="s">
        <v>420</v>
      </c>
      <c r="C38" s="15">
        <v>2917</v>
      </c>
      <c r="D38" s="12" t="s">
        <v>421</v>
      </c>
      <c r="E38" s="37" t="s">
        <v>3</v>
      </c>
      <c r="F38" s="12"/>
      <c r="G38" s="12" t="s">
        <v>422</v>
      </c>
      <c r="H38" s="2" t="s">
        <v>423</v>
      </c>
      <c r="I38" s="14"/>
      <c r="J38" s="14"/>
      <c r="K38" s="38">
        <f t="shared" si="0"/>
        <v>3.3333333333333335E-3</v>
      </c>
      <c r="L38" s="38">
        <v>0.01</v>
      </c>
      <c r="M38" s="38">
        <v>0</v>
      </c>
      <c r="N38" s="38">
        <v>0</v>
      </c>
      <c r="P38" s="16"/>
      <c r="Q38" s="16"/>
    </row>
    <row r="39" spans="1:17" ht="75" x14ac:dyDescent="0.25">
      <c r="A39" s="12" t="s">
        <v>255</v>
      </c>
      <c r="B39" s="12" t="s">
        <v>424</v>
      </c>
      <c r="C39" s="15">
        <v>2928</v>
      </c>
      <c r="D39" s="12" t="s">
        <v>425</v>
      </c>
      <c r="E39" s="37" t="s">
        <v>3</v>
      </c>
      <c r="F39" s="12"/>
      <c r="G39" s="12" t="s">
        <v>155</v>
      </c>
      <c r="H39" s="24" t="s">
        <v>287</v>
      </c>
      <c r="I39" s="14"/>
      <c r="J39" s="14"/>
      <c r="K39" s="38">
        <f t="shared" si="0"/>
        <v>3.3333333333333335E-3</v>
      </c>
      <c r="L39" s="38">
        <v>0.01</v>
      </c>
      <c r="M39" s="38">
        <v>0</v>
      </c>
      <c r="N39" s="38">
        <v>0</v>
      </c>
      <c r="P39" s="16"/>
      <c r="Q39" s="16"/>
    </row>
    <row r="40" spans="1:17" ht="60" x14ac:dyDescent="0.25">
      <c r="A40" s="12" t="s">
        <v>426</v>
      </c>
      <c r="B40" s="12" t="s">
        <v>427</v>
      </c>
      <c r="C40" s="15">
        <v>5320</v>
      </c>
      <c r="D40" s="12" t="s">
        <v>428</v>
      </c>
      <c r="E40" s="37" t="s">
        <v>3</v>
      </c>
      <c r="F40" s="12"/>
      <c r="G40" s="12" t="s">
        <v>127</v>
      </c>
      <c r="H40" s="24" t="s">
        <v>429</v>
      </c>
      <c r="I40" s="14"/>
      <c r="J40" s="14"/>
      <c r="K40" s="38">
        <f t="shared" si="0"/>
        <v>3.3333333333333335E-3</v>
      </c>
      <c r="L40" s="38">
        <v>0.01</v>
      </c>
      <c r="M40" s="38">
        <v>0</v>
      </c>
      <c r="N40" s="38">
        <v>0</v>
      </c>
      <c r="P40" s="16"/>
      <c r="Q40" s="16"/>
    </row>
    <row r="41" spans="1:17" ht="60" x14ac:dyDescent="0.25">
      <c r="A41" s="12" t="s">
        <v>426</v>
      </c>
      <c r="B41" s="12" t="s">
        <v>427</v>
      </c>
      <c r="C41" s="15">
        <v>5320</v>
      </c>
      <c r="D41" s="12" t="s">
        <v>430</v>
      </c>
      <c r="E41" s="37" t="s">
        <v>3</v>
      </c>
      <c r="F41" s="12"/>
      <c r="G41" s="12" t="s">
        <v>127</v>
      </c>
      <c r="H41" s="24" t="s">
        <v>429</v>
      </c>
      <c r="I41" s="14"/>
      <c r="J41" s="14"/>
      <c r="K41" s="38">
        <f t="shared" si="0"/>
        <v>3.3333333333333335E-3</v>
      </c>
      <c r="L41" s="38">
        <v>0.01</v>
      </c>
      <c r="M41" s="38">
        <v>0</v>
      </c>
      <c r="N41" s="38">
        <v>0</v>
      </c>
      <c r="P41" s="16"/>
      <c r="Q41" s="16"/>
    </row>
    <row r="42" spans="1:17" ht="75" x14ac:dyDescent="0.25">
      <c r="A42" s="12" t="s">
        <v>51</v>
      </c>
      <c r="B42" s="12" t="s">
        <v>431</v>
      </c>
      <c r="C42" s="15">
        <v>2940</v>
      </c>
      <c r="D42" s="12" t="s">
        <v>432</v>
      </c>
      <c r="E42" s="37" t="s">
        <v>3</v>
      </c>
      <c r="F42" s="12"/>
      <c r="G42" s="12" t="s">
        <v>53</v>
      </c>
      <c r="H42" s="24" t="s">
        <v>297</v>
      </c>
      <c r="I42" s="14"/>
      <c r="J42" s="14"/>
      <c r="K42" s="38">
        <f t="shared" si="0"/>
        <v>3.3333333333333335E-3</v>
      </c>
      <c r="L42" s="38">
        <v>0.01</v>
      </c>
      <c r="M42" s="38">
        <v>0</v>
      </c>
      <c r="N42" s="38">
        <v>0</v>
      </c>
      <c r="P42" s="16"/>
      <c r="Q42" s="16"/>
    </row>
    <row r="43" spans="1:17" ht="60" x14ac:dyDescent="0.25">
      <c r="A43" s="12" t="s">
        <v>426</v>
      </c>
      <c r="B43" s="12" t="s">
        <v>433</v>
      </c>
      <c r="C43" s="15">
        <v>5321</v>
      </c>
      <c r="D43" s="12" t="s">
        <v>434</v>
      </c>
      <c r="E43" s="37" t="s">
        <v>3</v>
      </c>
      <c r="F43" s="12"/>
      <c r="G43" s="12" t="s">
        <v>127</v>
      </c>
      <c r="H43" s="24" t="s">
        <v>429</v>
      </c>
      <c r="I43" s="14"/>
      <c r="J43" s="14"/>
      <c r="K43" s="38">
        <f t="shared" si="0"/>
        <v>3.3333333333333335E-3</v>
      </c>
      <c r="L43" s="38">
        <v>0.01</v>
      </c>
      <c r="M43" s="38">
        <v>0</v>
      </c>
      <c r="N43" s="38">
        <v>0</v>
      </c>
      <c r="P43" s="16"/>
      <c r="Q43" s="16"/>
    </row>
    <row r="44" spans="1:17" ht="90" x14ac:dyDescent="0.25">
      <c r="A44" s="12" t="s">
        <v>435</v>
      </c>
      <c r="B44" s="12" t="s">
        <v>436</v>
      </c>
      <c r="C44" s="15">
        <v>2946</v>
      </c>
      <c r="D44" s="12" t="s">
        <v>437</v>
      </c>
      <c r="E44" s="37" t="s">
        <v>3</v>
      </c>
      <c r="F44" s="12"/>
      <c r="G44" s="12" t="s">
        <v>438</v>
      </c>
      <c r="H44" s="24" t="s">
        <v>439</v>
      </c>
      <c r="I44" s="14"/>
      <c r="J44" s="14"/>
      <c r="K44" s="38">
        <f t="shared" si="0"/>
        <v>3.3333333333333335E-3</v>
      </c>
      <c r="L44" s="38">
        <v>0.01</v>
      </c>
      <c r="M44" s="38">
        <v>0</v>
      </c>
      <c r="N44" s="38">
        <v>0</v>
      </c>
      <c r="P44" s="16"/>
      <c r="Q44" s="16"/>
    </row>
    <row r="45" spans="1:17" ht="90" x14ac:dyDescent="0.25">
      <c r="A45" s="12" t="s">
        <v>91</v>
      </c>
      <c r="B45" s="12" t="s">
        <v>440</v>
      </c>
      <c r="C45" s="15">
        <v>2963</v>
      </c>
      <c r="D45" s="12" t="s">
        <v>441</v>
      </c>
      <c r="E45" s="37" t="s">
        <v>3</v>
      </c>
      <c r="F45" s="12"/>
      <c r="G45" s="12" t="s">
        <v>157</v>
      </c>
      <c r="H45" s="24" t="s">
        <v>341</v>
      </c>
      <c r="I45" s="14"/>
      <c r="J45" s="14"/>
      <c r="K45" s="38">
        <f t="shared" si="0"/>
        <v>3.3333333333333335E-3</v>
      </c>
      <c r="L45" s="38">
        <v>0.01</v>
      </c>
      <c r="M45" s="38">
        <v>0</v>
      </c>
      <c r="N45" s="38">
        <v>0</v>
      </c>
      <c r="P45" s="16"/>
      <c r="Q45" s="34" t="s">
        <v>385</v>
      </c>
    </row>
    <row r="46" spans="1:17" ht="90" x14ac:dyDescent="0.25">
      <c r="A46" s="12" t="s">
        <v>442</v>
      </c>
      <c r="B46" s="12" t="s">
        <v>443</v>
      </c>
      <c r="C46" s="15">
        <v>2978</v>
      </c>
      <c r="D46" s="12" t="s">
        <v>444</v>
      </c>
      <c r="E46" s="37" t="s">
        <v>3</v>
      </c>
      <c r="F46" s="12"/>
      <c r="G46" s="12" t="s">
        <v>445</v>
      </c>
      <c r="H46" s="24" t="s">
        <v>446</v>
      </c>
      <c r="I46" s="14"/>
      <c r="J46" s="14"/>
      <c r="K46" s="38">
        <f t="shared" si="0"/>
        <v>3.3333333333333335E-3</v>
      </c>
      <c r="L46" s="38">
        <v>0.01</v>
      </c>
      <c r="M46" s="38">
        <v>0</v>
      </c>
      <c r="N46" s="38">
        <v>0</v>
      </c>
      <c r="O46" s="12" t="s">
        <v>188</v>
      </c>
      <c r="P46" s="16"/>
      <c r="Q46" s="34" t="s">
        <v>385</v>
      </c>
    </row>
    <row r="47" spans="1:17" ht="75" x14ac:dyDescent="0.25">
      <c r="A47" s="12" t="s">
        <v>447</v>
      </c>
      <c r="B47" s="12" t="s">
        <v>448</v>
      </c>
      <c r="C47" s="15" t="s">
        <v>449</v>
      </c>
      <c r="D47" s="12" t="s">
        <v>87</v>
      </c>
      <c r="E47" s="37" t="s">
        <v>3</v>
      </c>
      <c r="F47" s="12"/>
      <c r="G47" s="12" t="s">
        <v>450</v>
      </c>
      <c r="H47" s="24" t="s">
        <v>451</v>
      </c>
      <c r="I47" s="14"/>
      <c r="J47" s="14"/>
      <c r="K47" s="38">
        <f t="shared" si="0"/>
        <v>3.3333333333333335E-3</v>
      </c>
      <c r="L47" s="38">
        <v>0.01</v>
      </c>
      <c r="M47" s="38">
        <v>0</v>
      </c>
      <c r="N47" s="38">
        <v>0</v>
      </c>
      <c r="P47" s="16"/>
      <c r="Q47" s="34" t="s">
        <v>385</v>
      </c>
    </row>
    <row r="48" spans="1:17" ht="75" x14ac:dyDescent="0.25">
      <c r="A48" s="12" t="s">
        <v>51</v>
      </c>
      <c r="B48" s="12" t="s">
        <v>452</v>
      </c>
      <c r="C48" s="15">
        <v>2976</v>
      </c>
      <c r="D48" s="12" t="s">
        <v>453</v>
      </c>
      <c r="E48" s="37" t="s">
        <v>3</v>
      </c>
      <c r="F48" s="12"/>
      <c r="G48" s="12" t="s">
        <v>53</v>
      </c>
      <c r="H48" s="24" t="s">
        <v>297</v>
      </c>
      <c r="I48" s="14"/>
      <c r="J48" s="14"/>
      <c r="K48" s="38">
        <f t="shared" si="0"/>
        <v>3.3333333333333335E-3</v>
      </c>
      <c r="L48" s="38">
        <v>0.01</v>
      </c>
      <c r="M48" s="38">
        <v>0</v>
      </c>
      <c r="N48" s="38">
        <v>0</v>
      </c>
      <c r="P48" s="16"/>
      <c r="Q48" s="34" t="s">
        <v>385</v>
      </c>
    </row>
    <row r="49" spans="1:17" ht="90" x14ac:dyDescent="0.25">
      <c r="A49" s="12" t="s">
        <v>91</v>
      </c>
      <c r="B49" s="12" t="s">
        <v>454</v>
      </c>
      <c r="C49" s="15">
        <v>2986</v>
      </c>
      <c r="D49" s="12" t="s">
        <v>455</v>
      </c>
      <c r="E49" s="37" t="s">
        <v>3</v>
      </c>
      <c r="F49" s="12"/>
      <c r="G49" s="12" t="s">
        <v>157</v>
      </c>
      <c r="H49" s="24" t="s">
        <v>341</v>
      </c>
      <c r="I49" s="14"/>
      <c r="J49" s="14"/>
      <c r="K49" s="38">
        <f t="shared" si="0"/>
        <v>3.3333333333333335E-3</v>
      </c>
      <c r="L49" s="38">
        <v>0.01</v>
      </c>
      <c r="M49" s="38">
        <v>0</v>
      </c>
      <c r="N49" s="38">
        <v>0</v>
      </c>
      <c r="O49" s="12" t="s">
        <v>188</v>
      </c>
      <c r="P49" s="16"/>
      <c r="Q49" s="34" t="s">
        <v>385</v>
      </c>
    </row>
    <row r="50" spans="1:17" ht="90" x14ac:dyDescent="0.25">
      <c r="A50" s="12" t="s">
        <v>281</v>
      </c>
      <c r="B50" s="12" t="s">
        <v>456</v>
      </c>
      <c r="C50" s="15" t="s">
        <v>457</v>
      </c>
      <c r="D50" s="12" t="s">
        <v>458</v>
      </c>
      <c r="E50" s="37" t="s">
        <v>3</v>
      </c>
      <c r="F50" s="12"/>
      <c r="G50" s="12" t="s">
        <v>284</v>
      </c>
      <c r="H50" s="24" t="s">
        <v>283</v>
      </c>
      <c r="I50" s="14"/>
      <c r="J50" s="14"/>
      <c r="K50" s="38">
        <f t="shared" si="0"/>
        <v>3.3333333333333335E-3</v>
      </c>
      <c r="L50" s="38">
        <v>0.01</v>
      </c>
      <c r="M50" s="38">
        <v>0</v>
      </c>
      <c r="N50" s="38">
        <v>0</v>
      </c>
      <c r="O50" s="12" t="s">
        <v>188</v>
      </c>
      <c r="P50" s="16"/>
      <c r="Q50" s="34" t="s">
        <v>385</v>
      </c>
    </row>
    <row r="51" spans="1:17" ht="90" x14ac:dyDescent="0.25">
      <c r="A51" s="12" t="s">
        <v>281</v>
      </c>
      <c r="B51" s="12" t="s">
        <v>459</v>
      </c>
      <c r="C51" s="15" t="s">
        <v>460</v>
      </c>
      <c r="D51" s="12" t="s">
        <v>461</v>
      </c>
      <c r="E51" s="37" t="s">
        <v>3</v>
      </c>
      <c r="F51" s="12"/>
      <c r="G51" s="12" t="s">
        <v>284</v>
      </c>
      <c r="H51" s="24" t="s">
        <v>283</v>
      </c>
      <c r="I51" s="14"/>
      <c r="J51" s="14"/>
      <c r="K51" s="38">
        <f t="shared" si="0"/>
        <v>3.3333333333333335E-3</v>
      </c>
      <c r="L51" s="38">
        <v>0.01</v>
      </c>
      <c r="M51" s="38">
        <v>0</v>
      </c>
      <c r="N51" s="38">
        <v>0</v>
      </c>
      <c r="P51" s="16"/>
      <c r="Q51" s="34" t="s">
        <v>385</v>
      </c>
    </row>
    <row r="52" spans="1:17" ht="75" x14ac:dyDescent="0.25">
      <c r="A52" s="12" t="s">
        <v>462</v>
      </c>
      <c r="B52" s="12" t="s">
        <v>463</v>
      </c>
      <c r="C52" s="15" t="s">
        <v>464</v>
      </c>
      <c r="D52" s="12" t="s">
        <v>338</v>
      </c>
      <c r="E52" s="37" t="s">
        <v>3</v>
      </c>
      <c r="F52" s="12"/>
      <c r="G52" s="12" t="s">
        <v>465</v>
      </c>
      <c r="H52" s="2" t="s">
        <v>466</v>
      </c>
      <c r="I52" s="14"/>
      <c r="J52" s="14"/>
      <c r="K52" s="38">
        <f t="shared" si="0"/>
        <v>3.3333333333333335E-3</v>
      </c>
      <c r="L52" s="38">
        <v>0.01</v>
      </c>
      <c r="M52" s="38">
        <v>0</v>
      </c>
      <c r="N52" s="38">
        <v>0</v>
      </c>
      <c r="P52" s="16"/>
      <c r="Q52" s="34" t="s">
        <v>385</v>
      </c>
    </row>
    <row r="53" spans="1:17" ht="90" x14ac:dyDescent="0.25">
      <c r="A53" s="12" t="s">
        <v>302</v>
      </c>
      <c r="B53" s="12" t="s">
        <v>467</v>
      </c>
      <c r="C53" s="15">
        <v>3023</v>
      </c>
      <c r="D53" s="12" t="s">
        <v>468</v>
      </c>
      <c r="E53" s="37" t="s">
        <v>3</v>
      </c>
      <c r="F53" s="12"/>
      <c r="G53" s="12" t="s">
        <v>304</v>
      </c>
      <c r="H53" s="24" t="s">
        <v>305</v>
      </c>
      <c r="I53" s="14"/>
      <c r="J53" s="14"/>
      <c r="K53" s="38">
        <f t="shared" si="0"/>
        <v>3.3333333333333335E-3</v>
      </c>
      <c r="L53" s="38">
        <v>0.01</v>
      </c>
      <c r="M53" s="38">
        <v>0</v>
      </c>
      <c r="N53" s="38">
        <v>0</v>
      </c>
      <c r="O53" s="12" t="s">
        <v>188</v>
      </c>
      <c r="P53" s="16"/>
      <c r="Q53" s="34" t="s">
        <v>385</v>
      </c>
    </row>
    <row r="54" spans="1:17" ht="90" x14ac:dyDescent="0.25">
      <c r="A54" s="12" t="s">
        <v>442</v>
      </c>
      <c r="B54" s="12" t="s">
        <v>469</v>
      </c>
      <c r="C54" s="15">
        <v>3030</v>
      </c>
      <c r="D54" s="12" t="s">
        <v>470</v>
      </c>
      <c r="E54" s="37" t="s">
        <v>3</v>
      </c>
      <c r="F54" s="12"/>
      <c r="G54" s="12" t="s">
        <v>445</v>
      </c>
      <c r="H54" s="24" t="s">
        <v>446</v>
      </c>
      <c r="I54" s="14"/>
      <c r="J54" s="14"/>
      <c r="K54" s="38">
        <f t="shared" si="0"/>
        <v>3.3333333333333335E-3</v>
      </c>
      <c r="L54" s="38">
        <v>0.01</v>
      </c>
      <c r="M54" s="38">
        <v>0</v>
      </c>
      <c r="N54" s="38">
        <v>0</v>
      </c>
      <c r="P54" s="16"/>
      <c r="Q54" s="34" t="s">
        <v>385</v>
      </c>
    </row>
    <row r="55" spans="1:17" ht="90" x14ac:dyDescent="0.25">
      <c r="A55" s="12" t="s">
        <v>261</v>
      </c>
      <c r="B55" s="12" t="s">
        <v>471</v>
      </c>
      <c r="C55" s="15" t="s">
        <v>472</v>
      </c>
      <c r="D55" s="12" t="s">
        <v>151</v>
      </c>
      <c r="E55" s="37" t="s">
        <v>3</v>
      </c>
      <c r="F55" s="12"/>
      <c r="G55" s="12" t="s">
        <v>336</v>
      </c>
      <c r="H55" s="24" t="s">
        <v>335</v>
      </c>
      <c r="I55" s="14"/>
      <c r="J55" s="14"/>
      <c r="K55" s="38">
        <f t="shared" si="0"/>
        <v>3.3333333333333335E-3</v>
      </c>
      <c r="L55" s="38">
        <v>0.01</v>
      </c>
      <c r="M55" s="38">
        <v>0</v>
      </c>
      <c r="N55" s="38">
        <v>0</v>
      </c>
      <c r="P55" s="16"/>
      <c r="Q55" s="34" t="s">
        <v>385</v>
      </c>
    </row>
    <row r="56" spans="1:17" ht="60" x14ac:dyDescent="0.25">
      <c r="A56" s="12" t="s">
        <v>426</v>
      </c>
      <c r="B56" s="12" t="s">
        <v>473</v>
      </c>
      <c r="C56" s="15">
        <v>5333</v>
      </c>
      <c r="D56" s="12" t="s">
        <v>474</v>
      </c>
      <c r="E56" s="37" t="s">
        <v>3</v>
      </c>
      <c r="F56" s="12"/>
      <c r="G56" s="12" t="s">
        <v>127</v>
      </c>
      <c r="H56" s="24" t="s">
        <v>429</v>
      </c>
      <c r="I56" s="14"/>
      <c r="J56" s="14"/>
      <c r="K56" s="38">
        <f t="shared" si="0"/>
        <v>3.3333333333333335E-3</v>
      </c>
      <c r="L56" s="38">
        <v>0.01</v>
      </c>
      <c r="M56" s="38">
        <v>0</v>
      </c>
      <c r="N56" s="38">
        <v>0</v>
      </c>
      <c r="P56" s="16"/>
      <c r="Q56" s="34" t="s">
        <v>385</v>
      </c>
    </row>
    <row r="57" spans="1:17" ht="60" x14ac:dyDescent="0.25">
      <c r="A57" s="12" t="s">
        <v>426</v>
      </c>
      <c r="B57" s="12" t="s">
        <v>475</v>
      </c>
      <c r="C57" s="15">
        <v>5333</v>
      </c>
      <c r="D57" s="12" t="s">
        <v>476</v>
      </c>
      <c r="E57" s="37" t="s">
        <v>3</v>
      </c>
      <c r="F57" s="12"/>
      <c r="G57" s="12" t="s">
        <v>127</v>
      </c>
      <c r="H57" s="24" t="s">
        <v>429</v>
      </c>
      <c r="I57" s="14"/>
      <c r="J57" s="14"/>
      <c r="K57" s="38">
        <f t="shared" si="0"/>
        <v>3.3333333333333335E-3</v>
      </c>
      <c r="L57" s="38">
        <v>0.01</v>
      </c>
      <c r="M57" s="38">
        <v>0</v>
      </c>
      <c r="N57" s="38">
        <v>0</v>
      </c>
      <c r="P57" s="16"/>
      <c r="Q57" s="34" t="s">
        <v>385</v>
      </c>
    </row>
    <row r="58" spans="1:17" ht="75" x14ac:dyDescent="0.25">
      <c r="A58" s="12" t="s">
        <v>255</v>
      </c>
      <c r="B58" s="12" t="s">
        <v>477</v>
      </c>
      <c r="C58" s="15">
        <v>3044</v>
      </c>
      <c r="D58" s="12" t="s">
        <v>478</v>
      </c>
      <c r="E58" s="37" t="s">
        <v>3</v>
      </c>
      <c r="F58" s="12"/>
      <c r="G58" s="12" t="s">
        <v>155</v>
      </c>
      <c r="H58" s="24" t="s">
        <v>287</v>
      </c>
      <c r="I58" s="14"/>
      <c r="J58" s="14"/>
      <c r="K58" s="38">
        <f t="shared" si="0"/>
        <v>3.3333333333333335E-3</v>
      </c>
      <c r="L58" s="38">
        <v>0.01</v>
      </c>
      <c r="M58" s="38">
        <v>0</v>
      </c>
      <c r="N58" s="38">
        <v>0</v>
      </c>
      <c r="P58" s="16" t="s">
        <v>479</v>
      </c>
      <c r="Q58" s="34" t="s">
        <v>385</v>
      </c>
    </row>
    <row r="59" spans="1:17" ht="75" x14ac:dyDescent="0.25">
      <c r="A59" s="12" t="s">
        <v>480</v>
      </c>
      <c r="B59" s="12" t="s">
        <v>481</v>
      </c>
      <c r="C59" s="15" t="s">
        <v>482</v>
      </c>
      <c r="D59" s="12" t="s">
        <v>483</v>
      </c>
      <c r="E59" s="37" t="s">
        <v>3</v>
      </c>
      <c r="F59" s="12"/>
      <c r="G59" s="12" t="s">
        <v>484</v>
      </c>
      <c r="H59" s="24" t="s">
        <v>485</v>
      </c>
      <c r="I59" s="14"/>
      <c r="J59" s="14"/>
      <c r="K59" s="38">
        <f t="shared" si="0"/>
        <v>3.3333333333333335E-3</v>
      </c>
      <c r="L59" s="38">
        <v>0.01</v>
      </c>
      <c r="M59" s="38">
        <v>0</v>
      </c>
      <c r="N59" s="38">
        <v>0</v>
      </c>
      <c r="P59" s="16"/>
      <c r="Q59" s="34" t="s">
        <v>385</v>
      </c>
    </row>
    <row r="60" spans="1:17" ht="75" x14ac:dyDescent="0.25">
      <c r="A60" s="12" t="s">
        <v>255</v>
      </c>
      <c r="B60" s="12" t="s">
        <v>486</v>
      </c>
      <c r="C60" s="15">
        <v>3090</v>
      </c>
      <c r="D60" s="12" t="s">
        <v>487</v>
      </c>
      <c r="E60" s="37" t="s">
        <v>3</v>
      </c>
      <c r="F60" s="12"/>
      <c r="G60" s="12" t="s">
        <v>155</v>
      </c>
      <c r="H60" s="24" t="s">
        <v>287</v>
      </c>
      <c r="I60" s="14"/>
      <c r="J60" s="14"/>
      <c r="K60" s="38">
        <f t="shared" si="0"/>
        <v>3.3333333333333335E-3</v>
      </c>
      <c r="L60" s="38">
        <v>0.01</v>
      </c>
      <c r="M60" s="38">
        <v>0</v>
      </c>
      <c r="N60" s="38">
        <v>0</v>
      </c>
      <c r="O60" s="12" t="s">
        <v>188</v>
      </c>
      <c r="P60" s="16"/>
      <c r="Q60" s="34" t="s">
        <v>385</v>
      </c>
    </row>
    <row r="61" spans="1:17" ht="75" x14ac:dyDescent="0.25">
      <c r="A61" s="12" t="s">
        <v>255</v>
      </c>
      <c r="B61" s="12" t="s">
        <v>488</v>
      </c>
      <c r="C61" s="15">
        <v>3096</v>
      </c>
      <c r="D61" s="12" t="s">
        <v>78</v>
      </c>
      <c r="E61" s="37" t="s">
        <v>3</v>
      </c>
      <c r="F61" s="12"/>
      <c r="G61" s="12" t="s">
        <v>155</v>
      </c>
      <c r="H61" s="24" t="s">
        <v>287</v>
      </c>
      <c r="I61" s="14"/>
      <c r="J61" s="14"/>
      <c r="K61" s="38">
        <f t="shared" si="0"/>
        <v>3.3333333333333335E-3</v>
      </c>
      <c r="L61" s="38">
        <v>0.01</v>
      </c>
      <c r="M61" s="38">
        <v>0</v>
      </c>
      <c r="N61" s="38">
        <v>0</v>
      </c>
      <c r="P61" s="16"/>
      <c r="Q61" s="34" t="s">
        <v>385</v>
      </c>
    </row>
    <row r="62" spans="1:17" ht="90" x14ac:dyDescent="0.25">
      <c r="A62" s="12" t="s">
        <v>261</v>
      </c>
      <c r="B62" s="12" t="s">
        <v>489</v>
      </c>
      <c r="C62" s="15" t="s">
        <v>490</v>
      </c>
      <c r="D62" s="12" t="s">
        <v>491</v>
      </c>
      <c r="E62" s="37" t="s">
        <v>3</v>
      </c>
      <c r="F62" s="12"/>
      <c r="G62" s="12" t="s">
        <v>336</v>
      </c>
      <c r="H62" s="24" t="s">
        <v>335</v>
      </c>
      <c r="I62" s="14"/>
      <c r="J62" s="14"/>
      <c r="K62" s="38">
        <f t="shared" si="0"/>
        <v>3.3333333333333335E-3</v>
      </c>
      <c r="L62" s="38">
        <v>0.01</v>
      </c>
      <c r="M62" s="38">
        <v>0</v>
      </c>
      <c r="N62" s="38">
        <v>0</v>
      </c>
      <c r="P62" s="16"/>
      <c r="Q62" s="34" t="s">
        <v>385</v>
      </c>
    </row>
    <row r="63" spans="1:17" ht="75" x14ac:dyDescent="0.25">
      <c r="A63" s="12" t="s">
        <v>492</v>
      </c>
      <c r="B63" s="12" t="s">
        <v>493</v>
      </c>
      <c r="C63" s="15">
        <v>10001</v>
      </c>
      <c r="D63" s="12" t="s">
        <v>494</v>
      </c>
      <c r="E63" s="37" t="s">
        <v>3</v>
      </c>
      <c r="F63" s="12"/>
      <c r="G63" s="12" t="s">
        <v>495</v>
      </c>
      <c r="H63" s="24" t="s">
        <v>496</v>
      </c>
      <c r="I63" s="14"/>
      <c r="J63" s="14"/>
      <c r="K63" s="38">
        <f t="shared" si="0"/>
        <v>3.3333333333333335E-3</v>
      </c>
      <c r="L63" s="38">
        <v>0.01</v>
      </c>
      <c r="M63" s="38">
        <v>0</v>
      </c>
      <c r="N63" s="38">
        <v>0</v>
      </c>
      <c r="P63" s="16"/>
      <c r="Q63" s="34" t="s">
        <v>385</v>
      </c>
    </row>
    <row r="64" spans="1:17" ht="75" x14ac:dyDescent="0.25">
      <c r="A64" s="12" t="s">
        <v>492</v>
      </c>
      <c r="B64" s="12" t="s">
        <v>497</v>
      </c>
      <c r="C64" s="15">
        <v>10001</v>
      </c>
      <c r="D64" s="12" t="s">
        <v>498</v>
      </c>
      <c r="E64" s="37" t="s">
        <v>3</v>
      </c>
      <c r="F64" s="12"/>
      <c r="G64" s="12" t="s">
        <v>495</v>
      </c>
      <c r="H64" s="24" t="s">
        <v>496</v>
      </c>
      <c r="I64" s="14"/>
      <c r="J64" s="14"/>
      <c r="K64" s="38">
        <f t="shared" si="0"/>
        <v>3.3333333333333335E-3</v>
      </c>
      <c r="L64" s="38">
        <v>0.01</v>
      </c>
      <c r="M64" s="38">
        <v>0</v>
      </c>
      <c r="N64" s="38">
        <v>0</v>
      </c>
      <c r="P64" s="16"/>
      <c r="Q64" s="34" t="s">
        <v>385</v>
      </c>
    </row>
    <row r="65" spans="1:17" ht="90" x14ac:dyDescent="0.25">
      <c r="A65" s="12" t="s">
        <v>499</v>
      </c>
      <c r="B65" s="12" t="s">
        <v>500</v>
      </c>
      <c r="C65" s="15">
        <v>3107</v>
      </c>
      <c r="D65" s="12" t="s">
        <v>501</v>
      </c>
      <c r="E65" s="37" t="s">
        <v>3</v>
      </c>
      <c r="F65" s="12"/>
      <c r="G65" s="12" t="s">
        <v>502</v>
      </c>
      <c r="H65" s="24" t="s">
        <v>503</v>
      </c>
      <c r="I65" s="14"/>
      <c r="J65" s="14"/>
      <c r="K65" s="38">
        <f t="shared" si="0"/>
        <v>3.3333333333333335E-3</v>
      </c>
      <c r="L65" s="38">
        <v>0.01</v>
      </c>
      <c r="M65" s="38">
        <v>0</v>
      </c>
      <c r="N65" s="38">
        <v>0</v>
      </c>
      <c r="P65" s="16"/>
      <c r="Q65" s="34" t="s">
        <v>385</v>
      </c>
    </row>
    <row r="66" spans="1:17" ht="90" x14ac:dyDescent="0.25">
      <c r="A66" s="12" t="s">
        <v>504</v>
      </c>
      <c r="B66" s="12" t="s">
        <v>505</v>
      </c>
      <c r="C66" s="15">
        <v>3110</v>
      </c>
      <c r="D66" s="12" t="s">
        <v>506</v>
      </c>
      <c r="E66" s="37" t="s">
        <v>3</v>
      </c>
      <c r="F66" s="12"/>
      <c r="G66" s="12" t="s">
        <v>438</v>
      </c>
      <c r="H66" s="24" t="s">
        <v>439</v>
      </c>
      <c r="I66" s="14"/>
      <c r="J66" s="14"/>
      <c r="K66" s="38">
        <f t="shared" ref="K66:K122" si="1">AVERAGE(L66:N66)</f>
        <v>3.3333333333333335E-3</v>
      </c>
      <c r="L66" s="38">
        <v>0.01</v>
      </c>
      <c r="M66" s="38">
        <v>0</v>
      </c>
      <c r="N66" s="38">
        <v>0</v>
      </c>
      <c r="P66" s="16"/>
      <c r="Q66" s="34" t="s">
        <v>385</v>
      </c>
    </row>
    <row r="67" spans="1:17" ht="90" x14ac:dyDescent="0.25">
      <c r="A67" s="12" t="s">
        <v>504</v>
      </c>
      <c r="B67" s="12" t="s">
        <v>507</v>
      </c>
      <c r="C67" s="15">
        <v>3111</v>
      </c>
      <c r="D67" s="12" t="s">
        <v>508</v>
      </c>
      <c r="E67" s="37" t="s">
        <v>3</v>
      </c>
      <c r="F67" s="12"/>
      <c r="G67" s="12" t="s">
        <v>438</v>
      </c>
      <c r="H67" s="24" t="s">
        <v>439</v>
      </c>
      <c r="I67" s="14"/>
      <c r="J67" s="14"/>
      <c r="K67" s="38">
        <f t="shared" si="1"/>
        <v>3.3333333333333335E-3</v>
      </c>
      <c r="L67" s="38">
        <v>0.01</v>
      </c>
      <c r="M67" s="38">
        <v>0</v>
      </c>
      <c r="N67" s="38">
        <v>0</v>
      </c>
      <c r="O67" s="12" t="s">
        <v>188</v>
      </c>
      <c r="P67" s="16"/>
      <c r="Q67" s="34" t="s">
        <v>385</v>
      </c>
    </row>
    <row r="68" spans="1:17" ht="90" x14ac:dyDescent="0.25">
      <c r="A68" s="12" t="s">
        <v>268</v>
      </c>
      <c r="B68" s="12" t="s">
        <v>509</v>
      </c>
      <c r="C68" s="15">
        <v>3128</v>
      </c>
      <c r="D68" s="12" t="s">
        <v>510</v>
      </c>
      <c r="E68" s="37" t="s">
        <v>3</v>
      </c>
      <c r="F68" s="12"/>
      <c r="G68" s="12" t="s">
        <v>269</v>
      </c>
      <c r="H68" s="24" t="s">
        <v>295</v>
      </c>
      <c r="I68" s="14"/>
      <c r="J68" s="14"/>
      <c r="K68" s="38">
        <f t="shared" si="1"/>
        <v>3.3333333333333335E-3</v>
      </c>
      <c r="L68" s="38">
        <v>0.01</v>
      </c>
      <c r="M68" s="38">
        <v>0</v>
      </c>
      <c r="N68" s="38">
        <v>0</v>
      </c>
      <c r="O68" s="12" t="s">
        <v>188</v>
      </c>
      <c r="P68" s="16"/>
      <c r="Q68" s="34" t="s">
        <v>385</v>
      </c>
    </row>
    <row r="69" spans="1:17" ht="90" x14ac:dyDescent="0.25">
      <c r="A69" s="12" t="s">
        <v>504</v>
      </c>
      <c r="B69" s="12" t="s">
        <v>511</v>
      </c>
      <c r="C69" s="15">
        <v>3153</v>
      </c>
      <c r="D69" s="12" t="s">
        <v>512</v>
      </c>
      <c r="E69" s="37" t="s">
        <v>3</v>
      </c>
      <c r="F69" s="12"/>
      <c r="G69" s="12" t="s">
        <v>438</v>
      </c>
      <c r="H69" s="24" t="s">
        <v>439</v>
      </c>
      <c r="I69" s="14"/>
      <c r="J69" s="14"/>
      <c r="K69" s="38">
        <f t="shared" si="1"/>
        <v>3.3333333333333335E-3</v>
      </c>
      <c r="L69" s="38">
        <v>0.01</v>
      </c>
      <c r="M69" s="38">
        <v>0</v>
      </c>
      <c r="N69" s="38">
        <v>0</v>
      </c>
      <c r="P69" s="16"/>
      <c r="Q69" s="34" t="s">
        <v>385</v>
      </c>
    </row>
    <row r="70" spans="1:17" ht="90" x14ac:dyDescent="0.25">
      <c r="A70" s="12" t="s">
        <v>513</v>
      </c>
      <c r="B70" s="12" t="s">
        <v>514</v>
      </c>
      <c r="C70" s="15">
        <v>3160</v>
      </c>
      <c r="D70" s="12" t="s">
        <v>515</v>
      </c>
      <c r="E70" s="37" t="s">
        <v>3</v>
      </c>
      <c r="F70" s="12"/>
      <c r="G70" s="12" t="s">
        <v>304</v>
      </c>
      <c r="H70" s="24" t="s">
        <v>305</v>
      </c>
      <c r="I70" s="14"/>
      <c r="J70" s="14"/>
      <c r="K70" s="38">
        <f t="shared" si="1"/>
        <v>3.3333333333333335E-3</v>
      </c>
      <c r="L70" s="38">
        <v>0.01</v>
      </c>
      <c r="M70" s="38">
        <v>0</v>
      </c>
      <c r="N70" s="38">
        <v>0</v>
      </c>
      <c r="P70" s="16"/>
      <c r="Q70" s="34" t="s">
        <v>385</v>
      </c>
    </row>
    <row r="71" spans="1:17" ht="90" x14ac:dyDescent="0.25">
      <c r="A71" s="12" t="s">
        <v>261</v>
      </c>
      <c r="B71" s="12" t="s">
        <v>516</v>
      </c>
      <c r="C71" s="15" t="s">
        <v>517</v>
      </c>
      <c r="D71" s="12" t="s">
        <v>518</v>
      </c>
      <c r="E71" s="37" t="s">
        <v>3</v>
      </c>
      <c r="F71" s="12"/>
      <c r="G71" s="20" t="s">
        <v>336</v>
      </c>
      <c r="H71" s="25" t="s">
        <v>335</v>
      </c>
      <c r="I71" s="14"/>
      <c r="J71" s="14"/>
      <c r="K71" s="38">
        <f t="shared" si="1"/>
        <v>3.3333333333333335E-3</v>
      </c>
      <c r="L71" s="38">
        <v>0.01</v>
      </c>
      <c r="M71" s="38">
        <v>0</v>
      </c>
      <c r="N71" s="38">
        <v>0</v>
      </c>
      <c r="P71" s="16"/>
      <c r="Q71" s="34" t="s">
        <v>385</v>
      </c>
    </row>
    <row r="72" spans="1:17" ht="90" x14ac:dyDescent="0.25">
      <c r="A72" s="12" t="s">
        <v>268</v>
      </c>
      <c r="B72" s="12" t="s">
        <v>519</v>
      </c>
      <c r="C72" s="15">
        <v>3179</v>
      </c>
      <c r="D72" s="12" t="s">
        <v>520</v>
      </c>
      <c r="E72" s="37" t="s">
        <v>3</v>
      </c>
      <c r="F72" s="12"/>
      <c r="G72" s="12" t="s">
        <v>269</v>
      </c>
      <c r="H72" s="24" t="s">
        <v>295</v>
      </c>
      <c r="I72" s="14"/>
      <c r="J72" s="14"/>
      <c r="K72" s="38">
        <f t="shared" si="1"/>
        <v>3.3333333333333335E-3</v>
      </c>
      <c r="L72" s="38">
        <v>0.01</v>
      </c>
      <c r="M72" s="38">
        <v>0</v>
      </c>
      <c r="N72" s="38">
        <v>0</v>
      </c>
      <c r="P72" s="16"/>
      <c r="Q72" s="34" t="s">
        <v>385</v>
      </c>
    </row>
    <row r="73" spans="1:17" ht="90" x14ac:dyDescent="0.25">
      <c r="A73" s="12" t="s">
        <v>261</v>
      </c>
      <c r="B73" s="12" t="s">
        <v>521</v>
      </c>
      <c r="C73" s="15" t="s">
        <v>522</v>
      </c>
      <c r="D73" s="12" t="s">
        <v>523</v>
      </c>
      <c r="E73" s="37" t="s">
        <v>3</v>
      </c>
      <c r="F73" s="12"/>
      <c r="G73" s="12" t="s">
        <v>336</v>
      </c>
      <c r="H73" s="24" t="s">
        <v>335</v>
      </c>
      <c r="I73" s="14"/>
      <c r="J73" s="14"/>
      <c r="K73" s="38">
        <f t="shared" si="1"/>
        <v>3.3333333333333335E-3</v>
      </c>
      <c r="L73" s="38">
        <v>0.01</v>
      </c>
      <c r="M73" s="38">
        <v>0</v>
      </c>
      <c r="N73" s="38">
        <v>0</v>
      </c>
      <c r="P73" s="16"/>
      <c r="Q73" s="34" t="s">
        <v>385</v>
      </c>
    </row>
    <row r="74" spans="1:17" ht="90" x14ac:dyDescent="0.25">
      <c r="A74" s="12" t="s">
        <v>504</v>
      </c>
      <c r="B74" s="12" t="s">
        <v>524</v>
      </c>
      <c r="C74" s="15">
        <v>3190</v>
      </c>
      <c r="D74" s="12" t="s">
        <v>525</v>
      </c>
      <c r="E74" s="37" t="s">
        <v>3</v>
      </c>
      <c r="F74" s="12"/>
      <c r="G74" s="12" t="s">
        <v>438</v>
      </c>
      <c r="H74" s="24" t="s">
        <v>439</v>
      </c>
      <c r="I74" s="14"/>
      <c r="J74" s="14"/>
      <c r="K74" s="38">
        <f t="shared" si="1"/>
        <v>3.3333333333333335E-3</v>
      </c>
      <c r="L74" s="38">
        <v>0.01</v>
      </c>
      <c r="M74" s="38">
        <v>0</v>
      </c>
      <c r="N74" s="38">
        <v>0</v>
      </c>
      <c r="P74" s="16"/>
      <c r="Q74" s="34" t="s">
        <v>385</v>
      </c>
    </row>
    <row r="75" spans="1:17" ht="90" x14ac:dyDescent="0.25">
      <c r="A75" s="12" t="s">
        <v>513</v>
      </c>
      <c r="B75" s="12" t="s">
        <v>526</v>
      </c>
      <c r="C75" s="15">
        <v>3197</v>
      </c>
      <c r="D75" s="12" t="s">
        <v>527</v>
      </c>
      <c r="E75" s="37" t="s">
        <v>3</v>
      </c>
      <c r="F75" s="12"/>
      <c r="G75" s="12" t="s">
        <v>304</v>
      </c>
      <c r="H75" s="24" t="s">
        <v>305</v>
      </c>
      <c r="I75" s="14"/>
      <c r="J75" s="14"/>
      <c r="K75" s="38">
        <f t="shared" si="1"/>
        <v>3.3333333333333335E-3</v>
      </c>
      <c r="L75" s="38">
        <v>0.01</v>
      </c>
      <c r="M75" s="38">
        <v>0</v>
      </c>
      <c r="N75" s="38">
        <v>0</v>
      </c>
      <c r="P75" s="16"/>
      <c r="Q75" s="34" t="s">
        <v>385</v>
      </c>
    </row>
    <row r="76" spans="1:17" ht="105" x14ac:dyDescent="0.25">
      <c r="A76" s="12" t="s">
        <v>372</v>
      </c>
      <c r="B76" s="12" t="s">
        <v>528</v>
      </c>
      <c r="C76" s="15" t="s">
        <v>529</v>
      </c>
      <c r="D76" s="12" t="s">
        <v>530</v>
      </c>
      <c r="E76" s="37" t="s">
        <v>3</v>
      </c>
      <c r="F76" s="12"/>
      <c r="G76" s="20" t="s">
        <v>376</v>
      </c>
      <c r="H76" s="25" t="s">
        <v>377</v>
      </c>
      <c r="I76" s="14"/>
      <c r="J76" s="14"/>
      <c r="K76" s="38">
        <f t="shared" si="1"/>
        <v>3.3333333333333335E-3</v>
      </c>
      <c r="L76" s="38">
        <v>0.01</v>
      </c>
      <c r="M76" s="38">
        <v>0</v>
      </c>
      <c r="N76" s="38">
        <v>0</v>
      </c>
      <c r="P76" s="16"/>
      <c r="Q76" s="34" t="s">
        <v>385</v>
      </c>
    </row>
    <row r="77" spans="1:17" ht="75" x14ac:dyDescent="0.25">
      <c r="A77" s="12" t="s">
        <v>51</v>
      </c>
      <c r="B77" s="12" t="s">
        <v>531</v>
      </c>
      <c r="C77" s="15">
        <v>3213</v>
      </c>
      <c r="D77" s="12" t="s">
        <v>532</v>
      </c>
      <c r="E77" s="37" t="s">
        <v>3</v>
      </c>
      <c r="F77" s="12"/>
      <c r="G77" s="12" t="s">
        <v>53</v>
      </c>
      <c r="H77" s="24" t="s">
        <v>297</v>
      </c>
      <c r="I77" s="14"/>
      <c r="J77" s="14"/>
      <c r="K77" s="38">
        <f t="shared" si="1"/>
        <v>3.3333333333333335E-3</v>
      </c>
      <c r="L77" s="38">
        <v>0.01</v>
      </c>
      <c r="M77" s="38">
        <v>0</v>
      </c>
      <c r="N77" s="38">
        <v>0</v>
      </c>
      <c r="P77" s="16"/>
      <c r="Q77" s="34" t="s">
        <v>385</v>
      </c>
    </row>
    <row r="78" spans="1:17" ht="90" x14ac:dyDescent="0.25">
      <c r="A78" s="12" t="s">
        <v>91</v>
      </c>
      <c r="B78" s="12" t="s">
        <v>533</v>
      </c>
      <c r="C78" s="15">
        <v>3220</v>
      </c>
      <c r="D78" s="12" t="s">
        <v>338</v>
      </c>
      <c r="E78" s="37" t="s">
        <v>3</v>
      </c>
      <c r="F78" s="12"/>
      <c r="G78" s="12" t="s">
        <v>157</v>
      </c>
      <c r="H78" s="24" t="s">
        <v>341</v>
      </c>
      <c r="I78" s="14"/>
      <c r="J78" s="14"/>
      <c r="K78" s="38">
        <f t="shared" si="1"/>
        <v>3.3333333333333335E-3</v>
      </c>
      <c r="L78" s="38">
        <v>0.01</v>
      </c>
      <c r="M78" s="38">
        <v>0</v>
      </c>
      <c r="N78" s="38">
        <v>0</v>
      </c>
      <c r="P78" s="16" t="s">
        <v>534</v>
      </c>
      <c r="Q78" s="34" t="s">
        <v>385</v>
      </c>
    </row>
    <row r="79" spans="1:17" ht="75" x14ac:dyDescent="0.25">
      <c r="A79" s="12" t="s">
        <v>535</v>
      </c>
      <c r="B79" s="12" t="s">
        <v>536</v>
      </c>
      <c r="C79" s="15"/>
      <c r="D79" s="12" t="s">
        <v>537</v>
      </c>
      <c r="E79" s="37" t="s">
        <v>3</v>
      </c>
      <c r="F79" s="12"/>
      <c r="G79" s="12" t="s">
        <v>538</v>
      </c>
      <c r="H79" s="39" t="s">
        <v>539</v>
      </c>
      <c r="I79" s="14"/>
      <c r="J79" s="14"/>
      <c r="K79" s="38">
        <f t="shared" si="1"/>
        <v>3.3333333333333335E-3</v>
      </c>
      <c r="L79" s="38">
        <v>0.01</v>
      </c>
      <c r="M79" s="38">
        <v>0</v>
      </c>
      <c r="N79" s="38">
        <v>0</v>
      </c>
      <c r="P79" s="16"/>
      <c r="Q79" s="34" t="s">
        <v>385</v>
      </c>
    </row>
    <row r="80" spans="1:17" ht="90" x14ac:dyDescent="0.25">
      <c r="A80" s="12" t="s">
        <v>504</v>
      </c>
      <c r="B80" s="12" t="s">
        <v>540</v>
      </c>
      <c r="C80" s="15">
        <v>3226</v>
      </c>
      <c r="D80" s="12" t="s">
        <v>541</v>
      </c>
      <c r="E80" s="37" t="s">
        <v>3</v>
      </c>
      <c r="F80" s="12"/>
      <c r="G80" s="12" t="s">
        <v>438</v>
      </c>
      <c r="H80" s="24" t="s">
        <v>439</v>
      </c>
      <c r="I80" s="14"/>
      <c r="J80" s="14"/>
      <c r="K80" s="38">
        <f t="shared" si="1"/>
        <v>3.3333333333333335E-3</v>
      </c>
      <c r="L80" s="38">
        <v>0.01</v>
      </c>
      <c r="M80" s="38">
        <v>0</v>
      </c>
      <c r="N80" s="38">
        <v>0</v>
      </c>
      <c r="P80" s="16" t="s">
        <v>542</v>
      </c>
      <c r="Q80" s="34" t="s">
        <v>385</v>
      </c>
    </row>
    <row r="81" spans="1:17" ht="75" x14ac:dyDescent="0.25">
      <c r="A81" s="12" t="s">
        <v>255</v>
      </c>
      <c r="B81" s="12" t="s">
        <v>543</v>
      </c>
      <c r="C81" s="15">
        <v>3231</v>
      </c>
      <c r="D81" s="12" t="s">
        <v>151</v>
      </c>
      <c r="E81" s="37" t="s">
        <v>3</v>
      </c>
      <c r="F81" s="12"/>
      <c r="G81" s="12" t="s">
        <v>155</v>
      </c>
      <c r="H81" s="24" t="s">
        <v>287</v>
      </c>
      <c r="I81" s="14"/>
      <c r="J81" s="14"/>
      <c r="K81" s="38">
        <f t="shared" si="1"/>
        <v>3.3333333333333335E-3</v>
      </c>
      <c r="L81" s="38">
        <v>0.01</v>
      </c>
      <c r="M81" s="38">
        <v>0</v>
      </c>
      <c r="N81" s="38">
        <v>0</v>
      </c>
      <c r="P81" s="16" t="s">
        <v>479</v>
      </c>
      <c r="Q81" s="34" t="s">
        <v>385</v>
      </c>
    </row>
    <row r="82" spans="1:17" ht="90" x14ac:dyDescent="0.25">
      <c r="A82" s="12" t="s">
        <v>91</v>
      </c>
      <c r="B82" s="12" t="s">
        <v>544</v>
      </c>
      <c r="C82" s="15">
        <v>3236</v>
      </c>
      <c r="D82" s="12" t="s">
        <v>143</v>
      </c>
      <c r="E82" s="37" t="s">
        <v>3</v>
      </c>
      <c r="F82" s="12"/>
      <c r="G82" s="12" t="s">
        <v>157</v>
      </c>
      <c r="H82" s="24" t="s">
        <v>341</v>
      </c>
      <c r="I82" s="14"/>
      <c r="J82" s="14"/>
      <c r="K82" s="38">
        <f t="shared" si="1"/>
        <v>3.3333333333333335E-3</v>
      </c>
      <c r="L82" s="38">
        <v>0.01</v>
      </c>
      <c r="M82" s="38">
        <v>0</v>
      </c>
      <c r="N82" s="38">
        <v>0</v>
      </c>
      <c r="P82" s="16" t="s">
        <v>534</v>
      </c>
      <c r="Q82" s="34" t="s">
        <v>385</v>
      </c>
    </row>
    <row r="83" spans="1:17" ht="90" x14ac:dyDescent="0.25">
      <c r="A83" s="12" t="s">
        <v>419</v>
      </c>
      <c r="B83" s="12" t="s">
        <v>545</v>
      </c>
      <c r="C83" s="15">
        <v>3240</v>
      </c>
      <c r="D83" s="12" t="s">
        <v>546</v>
      </c>
      <c r="E83" s="37" t="s">
        <v>3</v>
      </c>
      <c r="F83" s="12"/>
      <c r="G83" s="12" t="s">
        <v>422</v>
      </c>
      <c r="H83" s="2" t="s">
        <v>423</v>
      </c>
      <c r="I83" s="14"/>
      <c r="J83" s="14"/>
      <c r="K83" s="38">
        <f t="shared" si="1"/>
        <v>3.3333333333333335E-3</v>
      </c>
      <c r="L83" s="38">
        <v>0.01</v>
      </c>
      <c r="M83" s="38">
        <v>0</v>
      </c>
      <c r="N83" s="38">
        <v>0</v>
      </c>
      <c r="P83" s="16"/>
      <c r="Q83" s="34" t="s">
        <v>385</v>
      </c>
    </row>
    <row r="84" spans="1:17" ht="90" x14ac:dyDescent="0.25">
      <c r="A84" s="12" t="s">
        <v>442</v>
      </c>
      <c r="B84" s="12" t="s">
        <v>547</v>
      </c>
      <c r="C84" s="15">
        <v>3242</v>
      </c>
      <c r="D84" s="12" t="s">
        <v>548</v>
      </c>
      <c r="E84" s="37" t="s">
        <v>3</v>
      </c>
      <c r="F84" s="12"/>
      <c r="G84" s="12" t="s">
        <v>445</v>
      </c>
      <c r="H84" s="24" t="s">
        <v>446</v>
      </c>
      <c r="I84" s="14"/>
      <c r="J84" s="14"/>
      <c r="K84" s="38">
        <f t="shared" si="1"/>
        <v>3.3333333333333335E-3</v>
      </c>
      <c r="L84" s="38">
        <v>0.01</v>
      </c>
      <c r="M84" s="38">
        <v>0</v>
      </c>
      <c r="N84" s="38">
        <v>0</v>
      </c>
      <c r="P84" s="16"/>
      <c r="Q84" s="34" t="s">
        <v>385</v>
      </c>
    </row>
    <row r="85" spans="1:17" ht="105" x14ac:dyDescent="0.25">
      <c r="A85" s="12" t="s">
        <v>59</v>
      </c>
      <c r="B85" s="12"/>
      <c r="C85" s="15"/>
      <c r="D85" s="12"/>
      <c r="E85" s="37" t="s">
        <v>3</v>
      </c>
      <c r="F85" s="12"/>
      <c r="G85" s="12" t="s">
        <v>549</v>
      </c>
      <c r="H85" s="24" t="s">
        <v>550</v>
      </c>
      <c r="I85" s="14"/>
      <c r="J85" s="14"/>
      <c r="K85" s="38">
        <f t="shared" si="1"/>
        <v>3.3333333333333335E-3</v>
      </c>
      <c r="L85" s="38">
        <v>0.01</v>
      </c>
      <c r="M85" s="38">
        <v>0</v>
      </c>
      <c r="N85" s="38">
        <v>0</v>
      </c>
      <c r="P85" s="16"/>
      <c r="Q85" s="34" t="s">
        <v>385</v>
      </c>
    </row>
    <row r="86" spans="1:17" ht="105" x14ac:dyDescent="0.25">
      <c r="A86" s="12"/>
      <c r="B86" s="12"/>
      <c r="C86" s="15"/>
      <c r="D86" s="12"/>
      <c r="E86" s="37" t="s">
        <v>3</v>
      </c>
      <c r="F86" s="12"/>
      <c r="G86" s="12" t="s">
        <v>551</v>
      </c>
      <c r="H86" s="24" t="s">
        <v>552</v>
      </c>
      <c r="I86" s="14"/>
      <c r="J86" s="14"/>
      <c r="K86" s="38">
        <f t="shared" si="1"/>
        <v>3.3333333333333335E-3</v>
      </c>
      <c r="L86" s="38">
        <v>0.01</v>
      </c>
      <c r="M86" s="38">
        <v>0</v>
      </c>
      <c r="N86" s="38">
        <v>0</v>
      </c>
      <c r="P86" s="16"/>
      <c r="Q86" s="34" t="s">
        <v>385</v>
      </c>
    </row>
    <row r="87" spans="1:17" ht="90" x14ac:dyDescent="0.25">
      <c r="A87" s="12" t="s">
        <v>442</v>
      </c>
      <c r="B87" s="12" t="s">
        <v>553</v>
      </c>
      <c r="C87" s="15">
        <v>3241</v>
      </c>
      <c r="D87" s="12" t="s">
        <v>554</v>
      </c>
      <c r="E87" s="37" t="s">
        <v>3</v>
      </c>
      <c r="F87" s="12"/>
      <c r="G87" s="12" t="s">
        <v>445</v>
      </c>
      <c r="H87" s="24" t="s">
        <v>446</v>
      </c>
      <c r="I87" s="14"/>
      <c r="J87" s="14"/>
      <c r="K87" s="38">
        <f t="shared" si="1"/>
        <v>3.3333333333333335E-3</v>
      </c>
      <c r="L87" s="38">
        <v>0.01</v>
      </c>
      <c r="M87" s="38">
        <v>0</v>
      </c>
      <c r="N87" s="38">
        <v>0</v>
      </c>
      <c r="P87" s="16"/>
      <c r="Q87" s="34" t="s">
        <v>385</v>
      </c>
    </row>
    <row r="88" spans="1:17" ht="90" x14ac:dyDescent="0.25">
      <c r="A88" s="12" t="s">
        <v>261</v>
      </c>
      <c r="B88" s="12" t="s">
        <v>555</v>
      </c>
      <c r="C88" s="15" t="s">
        <v>556</v>
      </c>
      <c r="D88" s="12" t="s">
        <v>557</v>
      </c>
      <c r="E88" s="37" t="s">
        <v>3</v>
      </c>
      <c r="F88" s="12"/>
      <c r="G88" s="12" t="s">
        <v>336</v>
      </c>
      <c r="H88" s="24" t="s">
        <v>335</v>
      </c>
      <c r="I88" s="14"/>
      <c r="J88" s="14"/>
      <c r="K88" s="38">
        <f t="shared" si="1"/>
        <v>3.3333333333333335E-3</v>
      </c>
      <c r="L88" s="38">
        <v>0.01</v>
      </c>
      <c r="M88" s="38">
        <v>0</v>
      </c>
      <c r="N88" s="38">
        <v>0</v>
      </c>
      <c r="P88" s="16"/>
      <c r="Q88" s="34" t="s">
        <v>385</v>
      </c>
    </row>
    <row r="89" spans="1:17" ht="90" x14ac:dyDescent="0.25">
      <c r="A89" s="12" t="s">
        <v>504</v>
      </c>
      <c r="B89" s="12" t="s">
        <v>558</v>
      </c>
      <c r="C89" s="15">
        <v>3273</v>
      </c>
      <c r="D89" s="12" t="s">
        <v>559</v>
      </c>
      <c r="E89" s="37" t="s">
        <v>3</v>
      </c>
      <c r="F89" s="12"/>
      <c r="G89" s="12" t="s">
        <v>438</v>
      </c>
      <c r="H89" s="24" t="s">
        <v>439</v>
      </c>
      <c r="I89" s="14"/>
      <c r="J89" s="14"/>
      <c r="K89" s="38">
        <f t="shared" si="1"/>
        <v>3.3333333333333335E-3</v>
      </c>
      <c r="L89" s="38">
        <v>0.01</v>
      </c>
      <c r="M89" s="38">
        <v>0</v>
      </c>
      <c r="N89" s="38">
        <v>0</v>
      </c>
      <c r="P89" s="16"/>
      <c r="Q89" s="34" t="s">
        <v>385</v>
      </c>
    </row>
    <row r="90" spans="1:17" ht="90" x14ac:dyDescent="0.25">
      <c r="A90" s="12" t="s">
        <v>419</v>
      </c>
      <c r="B90" s="12" t="s">
        <v>560</v>
      </c>
      <c r="C90" s="15">
        <v>3276</v>
      </c>
      <c r="D90" s="12" t="s">
        <v>561</v>
      </c>
      <c r="E90" s="37" t="s">
        <v>3</v>
      </c>
      <c r="F90" s="12"/>
      <c r="G90" s="12" t="s">
        <v>422</v>
      </c>
      <c r="H90" s="2" t="s">
        <v>423</v>
      </c>
      <c r="I90" s="14"/>
      <c r="J90" s="14"/>
      <c r="K90" s="38">
        <f t="shared" si="1"/>
        <v>3.3333333333333335E-3</v>
      </c>
      <c r="L90" s="38">
        <v>0.01</v>
      </c>
      <c r="M90" s="38">
        <v>0</v>
      </c>
      <c r="N90" s="38">
        <v>0</v>
      </c>
      <c r="P90" s="16"/>
      <c r="Q90" s="34" t="s">
        <v>385</v>
      </c>
    </row>
    <row r="91" spans="1:17" ht="90" x14ac:dyDescent="0.25">
      <c r="A91" s="12" t="s">
        <v>419</v>
      </c>
      <c r="B91" s="12" t="s">
        <v>562</v>
      </c>
      <c r="C91" s="15">
        <v>3282</v>
      </c>
      <c r="D91" s="12" t="s">
        <v>563</v>
      </c>
      <c r="E91" s="37" t="s">
        <v>3</v>
      </c>
      <c r="F91" s="12"/>
      <c r="G91" s="12" t="s">
        <v>422</v>
      </c>
      <c r="H91" s="2" t="s">
        <v>423</v>
      </c>
      <c r="I91" s="14"/>
      <c r="J91" s="14"/>
      <c r="K91" s="38">
        <f t="shared" si="1"/>
        <v>3.3333333333333335E-3</v>
      </c>
      <c r="L91" s="38">
        <v>0.01</v>
      </c>
      <c r="M91" s="38">
        <v>0</v>
      </c>
      <c r="N91" s="38">
        <v>0</v>
      </c>
      <c r="P91" s="16"/>
      <c r="Q91" s="34" t="s">
        <v>385</v>
      </c>
    </row>
    <row r="92" spans="1:17" ht="90" x14ac:dyDescent="0.25">
      <c r="A92" s="12" t="s">
        <v>419</v>
      </c>
      <c r="B92" s="12" t="s">
        <v>564</v>
      </c>
      <c r="C92" s="15">
        <v>3283</v>
      </c>
      <c r="D92" s="12" t="s">
        <v>338</v>
      </c>
      <c r="E92" s="37" t="s">
        <v>3</v>
      </c>
      <c r="F92" s="12"/>
      <c r="G92" s="12" t="s">
        <v>422</v>
      </c>
      <c r="H92" s="2" t="s">
        <v>423</v>
      </c>
      <c r="I92" s="14"/>
      <c r="J92" s="14"/>
      <c r="K92" s="38">
        <f t="shared" si="1"/>
        <v>3.3333333333333335E-3</v>
      </c>
      <c r="L92" s="38">
        <v>0.01</v>
      </c>
      <c r="M92" s="38">
        <v>0</v>
      </c>
      <c r="N92" s="38">
        <v>0</v>
      </c>
      <c r="P92" s="16"/>
      <c r="Q92" s="34" t="s">
        <v>385</v>
      </c>
    </row>
    <row r="93" spans="1:17" ht="90" x14ac:dyDescent="0.25">
      <c r="A93" s="12" t="s">
        <v>261</v>
      </c>
      <c r="B93" s="12" t="s">
        <v>565</v>
      </c>
      <c r="C93" s="15" t="s">
        <v>566</v>
      </c>
      <c r="D93" s="12" t="s">
        <v>567</v>
      </c>
      <c r="E93" s="37" t="s">
        <v>3</v>
      </c>
      <c r="F93" s="12"/>
      <c r="G93" s="12"/>
      <c r="H93" s="24" t="s">
        <v>335</v>
      </c>
      <c r="I93" s="14"/>
      <c r="J93" s="14"/>
      <c r="K93" s="38">
        <f t="shared" si="1"/>
        <v>3.3333333333333335E-3</v>
      </c>
      <c r="L93" s="38">
        <v>0.01</v>
      </c>
      <c r="M93" s="38">
        <v>0</v>
      </c>
      <c r="N93" s="38">
        <v>0</v>
      </c>
      <c r="P93" s="16"/>
      <c r="Q93" s="34" t="s">
        <v>385</v>
      </c>
    </row>
    <row r="94" spans="1:17" ht="45" x14ac:dyDescent="0.25">
      <c r="A94" s="12" t="s">
        <v>568</v>
      </c>
      <c r="B94" s="12" t="s">
        <v>569</v>
      </c>
      <c r="C94" s="15" t="s">
        <v>67</v>
      </c>
      <c r="D94" s="12" t="s">
        <v>570</v>
      </c>
      <c r="E94" s="37" t="s">
        <v>3</v>
      </c>
      <c r="F94" s="12"/>
      <c r="G94" s="12" t="s">
        <v>571</v>
      </c>
      <c r="H94" s="24" t="s">
        <v>572</v>
      </c>
      <c r="I94" s="14"/>
      <c r="J94" s="14"/>
      <c r="K94" s="38">
        <f t="shared" si="1"/>
        <v>3.3333333333333335E-3</v>
      </c>
      <c r="L94" s="38">
        <v>0.01</v>
      </c>
      <c r="M94" s="38">
        <v>0</v>
      </c>
      <c r="N94" s="38">
        <v>0</v>
      </c>
      <c r="P94" s="16"/>
      <c r="Q94" s="34" t="s">
        <v>385</v>
      </c>
    </row>
    <row r="95" spans="1:17" ht="90" x14ac:dyDescent="0.25">
      <c r="A95" s="12" t="s">
        <v>419</v>
      </c>
      <c r="B95" s="12" t="s">
        <v>573</v>
      </c>
      <c r="C95" s="15">
        <v>3292</v>
      </c>
      <c r="D95" s="12" t="s">
        <v>574</v>
      </c>
      <c r="E95" s="37" t="s">
        <v>3</v>
      </c>
      <c r="F95" s="12"/>
      <c r="G95" s="12" t="s">
        <v>422</v>
      </c>
      <c r="H95" s="2" t="s">
        <v>423</v>
      </c>
      <c r="I95" s="14"/>
      <c r="J95" s="14"/>
      <c r="K95" s="38">
        <f t="shared" si="1"/>
        <v>3.3333333333333335E-3</v>
      </c>
      <c r="L95" s="38">
        <v>0.01</v>
      </c>
      <c r="M95" s="38">
        <v>0</v>
      </c>
      <c r="N95" s="38">
        <v>0</v>
      </c>
      <c r="P95" s="16"/>
      <c r="Q95" s="34" t="s">
        <v>385</v>
      </c>
    </row>
    <row r="96" spans="1:17" ht="90" x14ac:dyDescent="0.25">
      <c r="A96" s="12" t="s">
        <v>504</v>
      </c>
      <c r="B96" s="12" t="s">
        <v>575</v>
      </c>
      <c r="C96" s="15">
        <v>3294</v>
      </c>
      <c r="D96" s="12" t="s">
        <v>576</v>
      </c>
      <c r="E96" s="37" t="s">
        <v>3</v>
      </c>
      <c r="F96" s="12"/>
      <c r="G96" s="12" t="s">
        <v>438</v>
      </c>
      <c r="H96" s="24" t="s">
        <v>439</v>
      </c>
      <c r="I96" s="14"/>
      <c r="J96" s="14"/>
      <c r="K96" s="38">
        <f t="shared" si="1"/>
        <v>3.3333333333333335E-3</v>
      </c>
      <c r="L96" s="38">
        <v>0.01</v>
      </c>
      <c r="M96" s="38">
        <v>0</v>
      </c>
      <c r="N96" s="38">
        <v>0</v>
      </c>
      <c r="P96" s="16"/>
      <c r="Q96" s="34" t="s">
        <v>385</v>
      </c>
    </row>
    <row r="97" spans="1:17" ht="75" x14ac:dyDescent="0.25">
      <c r="A97" s="12" t="s">
        <v>447</v>
      </c>
      <c r="B97" s="12" t="s">
        <v>577</v>
      </c>
      <c r="C97" s="15" t="s">
        <v>578</v>
      </c>
      <c r="D97" s="12" t="s">
        <v>579</v>
      </c>
      <c r="E97" s="37" t="s">
        <v>3</v>
      </c>
      <c r="F97" s="12"/>
      <c r="G97" s="12" t="s">
        <v>450</v>
      </c>
      <c r="H97" s="24" t="s">
        <v>580</v>
      </c>
      <c r="I97" s="14"/>
      <c r="J97" s="14"/>
      <c r="K97" s="38">
        <f t="shared" si="1"/>
        <v>3.3333333333333335E-3</v>
      </c>
      <c r="L97" s="38">
        <v>0.01</v>
      </c>
      <c r="M97" s="38">
        <v>0</v>
      </c>
      <c r="N97" s="38">
        <v>0</v>
      </c>
      <c r="P97" s="16"/>
      <c r="Q97" s="34" t="s">
        <v>385</v>
      </c>
    </row>
    <row r="98" spans="1:17" ht="90" x14ac:dyDescent="0.25">
      <c r="A98" s="12" t="s">
        <v>419</v>
      </c>
      <c r="B98" s="12" t="s">
        <v>581</v>
      </c>
      <c r="C98" s="15">
        <v>3300</v>
      </c>
      <c r="D98" s="12" t="s">
        <v>582</v>
      </c>
      <c r="E98" s="37" t="s">
        <v>3</v>
      </c>
      <c r="F98" s="12"/>
      <c r="G98" s="12" t="s">
        <v>422</v>
      </c>
      <c r="H98" s="2" t="s">
        <v>423</v>
      </c>
      <c r="I98" s="14"/>
      <c r="J98" s="14"/>
      <c r="K98" s="38">
        <f t="shared" si="1"/>
        <v>3.3333333333333335E-3</v>
      </c>
      <c r="L98" s="38">
        <v>0.01</v>
      </c>
      <c r="M98" s="38">
        <v>0</v>
      </c>
      <c r="N98" s="38">
        <v>0</v>
      </c>
      <c r="P98" s="16"/>
      <c r="Q98" s="34" t="s">
        <v>385</v>
      </c>
    </row>
    <row r="99" spans="1:17" ht="90" x14ac:dyDescent="0.25">
      <c r="A99" s="12" t="s">
        <v>261</v>
      </c>
      <c r="B99" s="12" t="s">
        <v>583</v>
      </c>
      <c r="C99" s="15" t="s">
        <v>584</v>
      </c>
      <c r="D99" s="12" t="s">
        <v>585</v>
      </c>
      <c r="E99" s="37" t="s">
        <v>3</v>
      </c>
      <c r="F99" s="12"/>
      <c r="G99" s="12"/>
      <c r="H99" s="24" t="s">
        <v>335</v>
      </c>
      <c r="I99" s="14"/>
      <c r="J99" s="14"/>
      <c r="K99" s="38">
        <f t="shared" si="1"/>
        <v>3.3333333333333335E-3</v>
      </c>
      <c r="L99" s="38">
        <v>0.01</v>
      </c>
      <c r="M99" s="38">
        <v>0</v>
      </c>
      <c r="N99" s="38">
        <v>0</v>
      </c>
      <c r="P99" s="16"/>
      <c r="Q99" s="34" t="s">
        <v>385</v>
      </c>
    </row>
    <row r="100" spans="1:17" ht="90" x14ac:dyDescent="0.25">
      <c r="A100" s="12" t="s">
        <v>268</v>
      </c>
      <c r="B100" s="12" t="s">
        <v>586</v>
      </c>
      <c r="C100" s="15">
        <v>3333</v>
      </c>
      <c r="D100" s="12" t="s">
        <v>78</v>
      </c>
      <c r="E100" s="37" t="s">
        <v>3</v>
      </c>
      <c r="F100" s="12"/>
      <c r="G100" s="12"/>
      <c r="H100" s="24" t="s">
        <v>295</v>
      </c>
      <c r="I100" s="14"/>
      <c r="J100" s="14"/>
      <c r="K100" s="38">
        <f t="shared" si="1"/>
        <v>3.3333333333333335E-3</v>
      </c>
      <c r="L100" s="38">
        <v>0.01</v>
      </c>
      <c r="M100" s="38">
        <v>0</v>
      </c>
      <c r="N100" s="38">
        <v>0</v>
      </c>
      <c r="P100" s="16" t="s">
        <v>587</v>
      </c>
      <c r="Q100" s="34" t="s">
        <v>385</v>
      </c>
    </row>
    <row r="101" spans="1:17" ht="90" x14ac:dyDescent="0.25">
      <c r="A101" s="12" t="s">
        <v>442</v>
      </c>
      <c r="B101" s="12" t="s">
        <v>588</v>
      </c>
      <c r="C101" s="15">
        <v>3336</v>
      </c>
      <c r="D101" s="12" t="s">
        <v>219</v>
      </c>
      <c r="E101" s="37" t="s">
        <v>3</v>
      </c>
      <c r="F101" s="12"/>
      <c r="G101" s="12"/>
      <c r="H101" s="24" t="s">
        <v>446</v>
      </c>
      <c r="I101" s="14"/>
      <c r="J101" s="14"/>
      <c r="K101" s="38">
        <f t="shared" si="1"/>
        <v>3.3333333333333335E-3</v>
      </c>
      <c r="L101" s="38">
        <v>0.01</v>
      </c>
      <c r="M101" s="38">
        <v>0</v>
      </c>
      <c r="N101" s="38">
        <v>0</v>
      </c>
      <c r="P101" s="16"/>
      <c r="Q101" s="34" t="s">
        <v>385</v>
      </c>
    </row>
    <row r="102" spans="1:17" ht="75" x14ac:dyDescent="0.25">
      <c r="A102" s="12" t="s">
        <v>589</v>
      </c>
      <c r="B102" s="12" t="s">
        <v>590</v>
      </c>
      <c r="C102" s="15">
        <v>3339</v>
      </c>
      <c r="D102" s="12" t="s">
        <v>591</v>
      </c>
      <c r="E102" s="37" t="s">
        <v>3</v>
      </c>
      <c r="F102" s="12"/>
      <c r="G102" s="12"/>
      <c r="H102" s="2" t="s">
        <v>592</v>
      </c>
      <c r="I102"/>
      <c r="J102"/>
      <c r="K102" s="38">
        <f t="shared" si="1"/>
        <v>3.3333333333333335E-3</v>
      </c>
      <c r="L102" s="38">
        <v>0.01</v>
      </c>
      <c r="M102" s="38">
        <v>0</v>
      </c>
      <c r="N102" s="38">
        <v>0</v>
      </c>
      <c r="P102" s="16"/>
      <c r="Q102" s="34" t="s">
        <v>385</v>
      </c>
    </row>
    <row r="103" spans="1:17" ht="90" x14ac:dyDescent="0.25">
      <c r="A103" s="12" t="s">
        <v>285</v>
      </c>
      <c r="B103" s="12" t="s">
        <v>593</v>
      </c>
      <c r="C103" s="15">
        <v>3341</v>
      </c>
      <c r="D103" s="12" t="s">
        <v>594</v>
      </c>
      <c r="E103" s="37" t="s">
        <v>3</v>
      </c>
      <c r="F103" s="12"/>
      <c r="G103" s="12"/>
      <c r="H103" s="24" t="s">
        <v>595</v>
      </c>
      <c r="I103" s="14"/>
      <c r="J103" s="14"/>
      <c r="K103" s="38">
        <f t="shared" si="1"/>
        <v>3.3333333333333335E-3</v>
      </c>
      <c r="L103" s="38">
        <v>0.01</v>
      </c>
      <c r="M103" s="38">
        <v>0</v>
      </c>
      <c r="N103" s="38">
        <v>0</v>
      </c>
      <c r="P103" s="16"/>
      <c r="Q103" s="34" t="s">
        <v>385</v>
      </c>
    </row>
    <row r="104" spans="1:17" ht="90" x14ac:dyDescent="0.25">
      <c r="A104" s="12" t="s">
        <v>442</v>
      </c>
      <c r="B104" s="12" t="s">
        <v>596</v>
      </c>
      <c r="C104" s="15">
        <v>3356</v>
      </c>
      <c r="D104" s="12" t="s">
        <v>597</v>
      </c>
      <c r="E104" s="37" t="s">
        <v>3</v>
      </c>
      <c r="F104" s="12"/>
      <c r="G104" s="12"/>
      <c r="H104" s="24" t="s">
        <v>446</v>
      </c>
      <c r="I104" s="14"/>
      <c r="J104" s="14"/>
      <c r="K104" s="38">
        <f t="shared" si="1"/>
        <v>3.3333333333333335E-3</v>
      </c>
      <c r="L104" s="38">
        <v>0.01</v>
      </c>
      <c r="M104" s="38">
        <v>0</v>
      </c>
      <c r="N104" s="38">
        <v>0</v>
      </c>
      <c r="P104" s="34" t="s">
        <v>598</v>
      </c>
      <c r="Q104" s="34" t="s">
        <v>385</v>
      </c>
    </row>
    <row r="105" spans="1:17" ht="90" x14ac:dyDescent="0.25">
      <c r="A105" s="12" t="s">
        <v>442</v>
      </c>
      <c r="B105" s="12" t="s">
        <v>599</v>
      </c>
      <c r="C105" s="15">
        <v>3357</v>
      </c>
      <c r="D105" s="12" t="s">
        <v>600</v>
      </c>
      <c r="E105" s="37" t="s">
        <v>3</v>
      </c>
      <c r="F105" s="12"/>
      <c r="G105" s="12"/>
      <c r="H105" s="24" t="s">
        <v>283</v>
      </c>
      <c r="I105" s="14"/>
      <c r="J105" s="14"/>
      <c r="K105" s="38">
        <f t="shared" si="1"/>
        <v>3.3333333333333335E-3</v>
      </c>
      <c r="L105" s="38">
        <v>0.01</v>
      </c>
      <c r="M105" s="38">
        <v>0</v>
      </c>
      <c r="N105" s="38">
        <v>0</v>
      </c>
      <c r="P105" s="16"/>
      <c r="Q105" s="34" t="s">
        <v>385</v>
      </c>
    </row>
    <row r="106" spans="1:17" ht="90" x14ac:dyDescent="0.25">
      <c r="A106" s="12" t="s">
        <v>261</v>
      </c>
      <c r="B106" s="12" t="s">
        <v>601</v>
      </c>
      <c r="C106" s="15" t="s">
        <v>602</v>
      </c>
      <c r="D106" s="12" t="s">
        <v>603</v>
      </c>
      <c r="E106" s="37" t="s">
        <v>3</v>
      </c>
      <c r="F106" s="12"/>
      <c r="G106" s="12"/>
      <c r="H106" s="24" t="s">
        <v>335</v>
      </c>
      <c r="I106" s="14"/>
      <c r="J106" s="14"/>
      <c r="K106" s="38">
        <f t="shared" si="1"/>
        <v>3.3333333333333335E-3</v>
      </c>
      <c r="L106" s="38">
        <v>0.01</v>
      </c>
      <c r="M106" s="38">
        <v>0</v>
      </c>
      <c r="N106" s="38">
        <v>0</v>
      </c>
      <c r="P106" s="16"/>
      <c r="Q106" s="34" t="s">
        <v>385</v>
      </c>
    </row>
    <row r="107" spans="1:17" ht="75" x14ac:dyDescent="0.25">
      <c r="A107" s="12" t="s">
        <v>589</v>
      </c>
      <c r="B107" s="12" t="s">
        <v>604</v>
      </c>
      <c r="C107" s="15">
        <v>3374</v>
      </c>
      <c r="D107" s="12" t="s">
        <v>605</v>
      </c>
      <c r="E107" s="37" t="s">
        <v>3</v>
      </c>
      <c r="F107" s="12"/>
      <c r="G107" s="12"/>
      <c r="H107" s="2" t="s">
        <v>592</v>
      </c>
      <c r="I107" s="14"/>
      <c r="J107" s="14"/>
      <c r="K107" s="38">
        <f t="shared" si="1"/>
        <v>3.3333333333333335E-3</v>
      </c>
      <c r="L107" s="38">
        <v>0.01</v>
      </c>
      <c r="M107" s="38">
        <v>0</v>
      </c>
      <c r="N107" s="38">
        <v>0</v>
      </c>
      <c r="P107" s="16"/>
      <c r="Q107" s="34" t="s">
        <v>385</v>
      </c>
    </row>
    <row r="108" spans="1:17" ht="90" x14ac:dyDescent="0.25">
      <c r="A108" s="12" t="s">
        <v>504</v>
      </c>
      <c r="B108" s="12" t="s">
        <v>606</v>
      </c>
      <c r="C108" s="15">
        <v>3382</v>
      </c>
      <c r="D108" s="12" t="s">
        <v>607</v>
      </c>
      <c r="E108" s="37" t="s">
        <v>3</v>
      </c>
      <c r="F108" s="12"/>
      <c r="G108" s="12" t="s">
        <v>438</v>
      </c>
      <c r="H108" s="24" t="s">
        <v>439</v>
      </c>
      <c r="I108" s="14"/>
      <c r="J108" s="14"/>
      <c r="K108" s="38">
        <f t="shared" si="1"/>
        <v>3.3333333333333335E-3</v>
      </c>
      <c r="L108" s="38">
        <v>0.01</v>
      </c>
      <c r="M108" s="38">
        <v>0</v>
      </c>
      <c r="N108" s="38">
        <v>0</v>
      </c>
      <c r="P108" s="16"/>
      <c r="Q108" s="34" t="s">
        <v>385</v>
      </c>
    </row>
    <row r="109" spans="1:17" ht="90" x14ac:dyDescent="0.25">
      <c r="A109" s="12" t="s">
        <v>504</v>
      </c>
      <c r="B109" s="12" t="s">
        <v>608</v>
      </c>
      <c r="C109" s="15">
        <v>3391</v>
      </c>
      <c r="D109" s="12" t="s">
        <v>609</v>
      </c>
      <c r="E109" s="37" t="s">
        <v>3</v>
      </c>
      <c r="F109" s="12"/>
      <c r="G109" s="12" t="s">
        <v>438</v>
      </c>
      <c r="H109" s="24" t="s">
        <v>439</v>
      </c>
      <c r="I109" s="14"/>
      <c r="J109" s="14"/>
      <c r="K109" s="38">
        <f t="shared" si="1"/>
        <v>3.3333333333333335E-3</v>
      </c>
      <c r="L109" s="38">
        <v>0.01</v>
      </c>
      <c r="M109" s="38">
        <v>0</v>
      </c>
      <c r="N109" s="38">
        <v>0</v>
      </c>
      <c r="P109" s="16"/>
      <c r="Q109" s="34" t="s">
        <v>385</v>
      </c>
    </row>
    <row r="110" spans="1:17" ht="90" x14ac:dyDescent="0.25">
      <c r="A110" s="12" t="s">
        <v>513</v>
      </c>
      <c r="B110" s="12" t="s">
        <v>610</v>
      </c>
      <c r="C110" s="15">
        <v>3387</v>
      </c>
      <c r="D110" s="12"/>
      <c r="E110" s="37" t="s">
        <v>3</v>
      </c>
      <c r="F110" s="12"/>
      <c r="G110" s="12"/>
      <c r="H110" s="24" t="s">
        <v>305</v>
      </c>
      <c r="I110" s="14"/>
      <c r="J110" s="14"/>
      <c r="K110" s="38">
        <f t="shared" si="1"/>
        <v>3.3333333333333335E-3</v>
      </c>
      <c r="L110" s="38">
        <v>0.01</v>
      </c>
      <c r="M110" s="38">
        <v>0</v>
      </c>
      <c r="N110" s="38">
        <v>0</v>
      </c>
      <c r="P110" s="16"/>
      <c r="Q110" s="34" t="s">
        <v>385</v>
      </c>
    </row>
    <row r="111" spans="1:17" ht="75" x14ac:dyDescent="0.25">
      <c r="A111" s="12" t="s">
        <v>589</v>
      </c>
      <c r="B111" s="12" t="s">
        <v>611</v>
      </c>
      <c r="C111" s="15">
        <v>3396</v>
      </c>
      <c r="D111" s="12"/>
      <c r="E111" s="37" t="s">
        <v>3</v>
      </c>
      <c r="F111" s="12"/>
      <c r="G111" s="20"/>
      <c r="H111" s="25" t="s">
        <v>592</v>
      </c>
      <c r="I111" s="14"/>
      <c r="J111" s="14"/>
      <c r="K111" s="32">
        <f t="shared" si="1"/>
        <v>3.3333333333333335E-3</v>
      </c>
      <c r="L111" s="32">
        <v>0.01</v>
      </c>
      <c r="M111" s="32">
        <v>0</v>
      </c>
      <c r="N111" s="32">
        <v>0</v>
      </c>
      <c r="P111" s="16"/>
      <c r="Q111" s="34" t="s">
        <v>385</v>
      </c>
    </row>
    <row r="112" spans="1:17" ht="90" x14ac:dyDescent="0.25">
      <c r="A112" s="12" t="s">
        <v>261</v>
      </c>
      <c r="B112" s="12" t="s">
        <v>612</v>
      </c>
      <c r="C112" s="15" t="s">
        <v>613</v>
      </c>
      <c r="D112" s="12"/>
      <c r="E112" s="37" t="s">
        <v>3</v>
      </c>
      <c r="F112" s="12"/>
      <c r="G112" s="12"/>
      <c r="H112" s="26" t="s">
        <v>335</v>
      </c>
      <c r="I112" s="14"/>
      <c r="J112" s="14"/>
      <c r="K112" s="32">
        <f t="shared" si="1"/>
        <v>3.3333333333333335E-3</v>
      </c>
      <c r="L112" s="32">
        <v>0.01</v>
      </c>
      <c r="M112" s="32">
        <v>0</v>
      </c>
      <c r="N112" s="32">
        <v>0</v>
      </c>
      <c r="P112" s="16"/>
      <c r="Q112" s="34" t="s">
        <v>385</v>
      </c>
    </row>
    <row r="113" spans="1:17" ht="90" x14ac:dyDescent="0.25">
      <c r="A113" s="12" t="s">
        <v>499</v>
      </c>
      <c r="B113" s="12" t="s">
        <v>614</v>
      </c>
      <c r="C113" s="15">
        <v>3414</v>
      </c>
      <c r="D113" s="12"/>
      <c r="E113" s="37" t="s">
        <v>3</v>
      </c>
      <c r="F113" s="12"/>
      <c r="G113" s="12"/>
      <c r="H113" s="26" t="s">
        <v>503</v>
      </c>
      <c r="I113" s="14"/>
      <c r="J113" s="14"/>
      <c r="K113" s="32">
        <f t="shared" si="1"/>
        <v>3.3333333333333335E-3</v>
      </c>
      <c r="L113" s="32">
        <v>0.01</v>
      </c>
      <c r="M113" s="32">
        <v>0</v>
      </c>
      <c r="N113" s="32">
        <v>0</v>
      </c>
      <c r="P113" s="16"/>
      <c r="Q113" s="34" t="s">
        <v>385</v>
      </c>
    </row>
    <row r="114" spans="1:17" ht="90" x14ac:dyDescent="0.25">
      <c r="A114" s="12" t="s">
        <v>268</v>
      </c>
      <c r="B114" s="12" t="s">
        <v>615</v>
      </c>
      <c r="C114" s="15">
        <v>3421</v>
      </c>
      <c r="D114" s="12"/>
      <c r="E114" s="37" t="s">
        <v>3</v>
      </c>
      <c r="F114" s="12"/>
      <c r="G114" s="12"/>
      <c r="H114" s="25" t="s">
        <v>295</v>
      </c>
      <c r="I114" s="14"/>
      <c r="J114" s="14"/>
      <c r="K114" s="32">
        <f t="shared" si="1"/>
        <v>3.3333333333333335E-3</v>
      </c>
      <c r="L114" s="32">
        <v>0.01</v>
      </c>
      <c r="M114" s="32">
        <v>0</v>
      </c>
      <c r="N114" s="32">
        <v>0</v>
      </c>
      <c r="P114" s="16"/>
      <c r="Q114" s="34" t="s">
        <v>385</v>
      </c>
    </row>
    <row r="115" spans="1:17" ht="90" x14ac:dyDescent="0.25">
      <c r="A115" s="12" t="s">
        <v>419</v>
      </c>
      <c r="B115" s="12" t="s">
        <v>616</v>
      </c>
      <c r="C115" s="15">
        <v>3423</v>
      </c>
      <c r="D115" s="12"/>
      <c r="E115" s="37" t="s">
        <v>3</v>
      </c>
      <c r="F115" s="12"/>
      <c r="G115" s="12"/>
      <c r="H115" s="26" t="s">
        <v>423</v>
      </c>
      <c r="I115" s="14"/>
      <c r="J115" s="14"/>
      <c r="K115" s="32">
        <f t="shared" si="1"/>
        <v>3.3333333333333335E-3</v>
      </c>
      <c r="L115" s="32">
        <v>0.01</v>
      </c>
      <c r="M115" s="32">
        <v>0</v>
      </c>
      <c r="N115" s="32">
        <v>0</v>
      </c>
      <c r="P115" s="16"/>
      <c r="Q115" s="34" t="s">
        <v>385</v>
      </c>
    </row>
    <row r="116" spans="1:17" ht="90" x14ac:dyDescent="0.25">
      <c r="A116" s="12" t="s">
        <v>504</v>
      </c>
      <c r="B116" s="12" t="s">
        <v>617</v>
      </c>
      <c r="C116" s="15">
        <v>3427</v>
      </c>
      <c r="D116" s="12"/>
      <c r="E116" s="37" t="s">
        <v>3</v>
      </c>
      <c r="F116" s="12"/>
      <c r="G116" s="12"/>
      <c r="H116" s="26" t="s">
        <v>439</v>
      </c>
      <c r="I116" s="14"/>
      <c r="J116" s="14"/>
      <c r="K116" s="32">
        <f t="shared" si="1"/>
        <v>3.3333333333333335E-3</v>
      </c>
      <c r="L116" s="32">
        <v>0.01</v>
      </c>
      <c r="M116" s="32">
        <v>0</v>
      </c>
      <c r="N116" s="32">
        <v>0</v>
      </c>
      <c r="P116" s="16"/>
      <c r="Q116" s="34" t="s">
        <v>385</v>
      </c>
    </row>
    <row r="117" spans="1:17" ht="90" x14ac:dyDescent="0.25">
      <c r="A117" s="12" t="s">
        <v>504</v>
      </c>
      <c r="B117" s="12" t="s">
        <v>618</v>
      </c>
      <c r="C117" s="15">
        <v>3433</v>
      </c>
      <c r="D117" s="12"/>
      <c r="E117" s="37" t="s">
        <v>3</v>
      </c>
      <c r="F117" s="12"/>
      <c r="G117" s="12"/>
      <c r="H117" s="26" t="s">
        <v>439</v>
      </c>
      <c r="I117" s="14"/>
      <c r="J117" s="14"/>
      <c r="K117" s="32">
        <f t="shared" si="1"/>
        <v>3.3333333333333335E-3</v>
      </c>
      <c r="L117" s="32">
        <v>0.01</v>
      </c>
      <c r="M117" s="32">
        <v>0</v>
      </c>
      <c r="N117" s="32">
        <v>0</v>
      </c>
      <c r="P117" s="16"/>
      <c r="Q117" s="34" t="s">
        <v>385</v>
      </c>
    </row>
    <row r="118" spans="1:17" ht="30" x14ac:dyDescent="0.25">
      <c r="A118" s="12" t="s">
        <v>513</v>
      </c>
      <c r="B118" s="12" t="s">
        <v>619</v>
      </c>
      <c r="C118" s="15"/>
      <c r="D118" s="12"/>
      <c r="E118" s="12"/>
      <c r="F118" s="12"/>
      <c r="G118" s="12"/>
      <c r="H118" s="24"/>
      <c r="I118" s="14"/>
      <c r="J118" s="14"/>
      <c r="K118" s="32">
        <f t="shared" si="1"/>
        <v>3.3333333333333335E-3</v>
      </c>
      <c r="L118" s="32">
        <v>0.01</v>
      </c>
      <c r="M118" s="32">
        <v>0</v>
      </c>
      <c r="N118" s="32">
        <v>0</v>
      </c>
      <c r="P118" s="16"/>
      <c r="Q118" s="34" t="s">
        <v>385</v>
      </c>
    </row>
    <row r="119" spans="1:17" ht="30" x14ac:dyDescent="0.25">
      <c r="A119" s="12" t="s">
        <v>504</v>
      </c>
      <c r="B119" s="12" t="s">
        <v>620</v>
      </c>
      <c r="C119" s="15"/>
      <c r="D119" s="12"/>
      <c r="E119" s="12"/>
      <c r="F119" s="12"/>
      <c r="G119" s="12"/>
      <c r="H119" s="24"/>
      <c r="I119" s="14"/>
      <c r="J119" s="14"/>
      <c r="K119" s="32">
        <f t="shared" si="1"/>
        <v>3.3333333333333335E-3</v>
      </c>
      <c r="L119" s="32">
        <v>0.01</v>
      </c>
      <c r="M119" s="32">
        <v>0</v>
      </c>
      <c r="N119" s="32">
        <v>0</v>
      </c>
      <c r="P119" s="16"/>
      <c r="Q119" s="34" t="s">
        <v>385</v>
      </c>
    </row>
    <row r="120" spans="1:17" ht="30" x14ac:dyDescent="0.25">
      <c r="A120" s="12" t="s">
        <v>91</v>
      </c>
      <c r="B120" s="12" t="s">
        <v>621</v>
      </c>
      <c r="C120" s="15"/>
      <c r="D120" s="12"/>
      <c r="E120" s="12"/>
      <c r="F120" s="12"/>
      <c r="G120" s="12"/>
      <c r="H120" s="24"/>
      <c r="I120" s="14"/>
      <c r="J120" s="14"/>
      <c r="K120" s="32">
        <f t="shared" si="1"/>
        <v>3.3333333333333335E-3</v>
      </c>
      <c r="L120" s="32">
        <v>0.01</v>
      </c>
      <c r="M120" s="32">
        <v>0</v>
      </c>
      <c r="N120" s="32">
        <v>0</v>
      </c>
      <c r="P120" s="16"/>
      <c r="Q120" s="34" t="s">
        <v>385</v>
      </c>
    </row>
    <row r="121" spans="1:17" ht="30" x14ac:dyDescent="0.25">
      <c r="A121" s="12"/>
      <c r="B121" s="12" t="s">
        <v>622</v>
      </c>
      <c r="C121" s="15"/>
      <c r="D121" s="12"/>
      <c r="E121" s="12"/>
      <c r="F121" s="12"/>
      <c r="G121" s="12"/>
      <c r="H121" s="24"/>
      <c r="I121" s="14"/>
      <c r="J121" s="14"/>
      <c r="K121" s="16" t="e">
        <f t="shared" si="1"/>
        <v>#DIV/0!</v>
      </c>
      <c r="L121" s="16"/>
      <c r="M121" s="16"/>
      <c r="N121" s="16"/>
      <c r="P121" s="16"/>
      <c r="Q121" s="34" t="s">
        <v>385</v>
      </c>
    </row>
    <row r="122" spans="1:17" ht="30" x14ac:dyDescent="0.25">
      <c r="A122" s="12"/>
      <c r="B122" s="12"/>
      <c r="C122" s="15"/>
      <c r="D122" s="12"/>
      <c r="E122" s="12"/>
      <c r="F122" s="12"/>
      <c r="G122" s="12"/>
      <c r="H122" s="24"/>
      <c r="I122" s="14"/>
      <c r="J122" s="14"/>
      <c r="K122" s="16" t="e">
        <f t="shared" si="1"/>
        <v>#DIV/0!</v>
      </c>
      <c r="L122" s="16"/>
      <c r="M122" s="16"/>
      <c r="N122" s="16"/>
      <c r="P122" s="16"/>
      <c r="Q122" s="34" t="s">
        <v>385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2026-05-13T07:30:22Z</dcterms:modified>
</cp:coreProperties>
</file>