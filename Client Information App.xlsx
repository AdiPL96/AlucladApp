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Z:\06 Operation\1. Operation Documents\3. Project Cordination\5. Data Analytics\Power Bi Projects\1. PB2401 Client Information\"/>
    </mc:Choice>
  </mc:AlternateContent>
  <xr:revisionPtr revIDLastSave="0" documentId="13_ncr:1_{F74F4AD8-0D2F-4CA9-B2C5-1DDCFED2680B}" xr6:coauthVersionLast="47" xr6:coauthVersionMax="47" xr10:uidLastSave="{00000000-0000-0000-0000-000000000000}"/>
  <bookViews>
    <workbookView xWindow="3828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2" l="1"/>
  <c r="K41" i="2"/>
  <c r="K40" i="2" l="1"/>
  <c r="K39" i="2"/>
  <c r="K38" i="2" l="1"/>
  <c r="K37" i="2"/>
  <c r="K36" i="2"/>
  <c r="K35" i="2"/>
  <c r="K33" i="2"/>
  <c r="K32" i="2"/>
  <c r="K34" i="2"/>
  <c r="K31" i="2"/>
  <c r="K30" i="2"/>
  <c r="K29" i="2" l="1"/>
  <c r="K28" i="2"/>
  <c r="K27" i="2"/>
  <c r="K26" i="2"/>
  <c r="K25" i="2"/>
  <c r="K24" i="2" l="1"/>
  <c r="K23" i="2"/>
  <c r="K22" i="2"/>
  <c r="K21" i="2"/>
  <c r="K20" i="2" l="1"/>
  <c r="K19" i="2" l="1"/>
  <c r="K10" i="2"/>
  <c r="K18" i="2"/>
  <c r="K17" i="2"/>
  <c r="K16" i="2"/>
  <c r="K15" i="2"/>
  <c r="K14" i="2"/>
  <c r="K13" i="2"/>
  <c r="K12" i="2"/>
  <c r="K11" i="2"/>
  <c r="K9" i="2"/>
  <c r="K8" i="2"/>
  <c r="K7" i="2"/>
  <c r="K6" i="2"/>
  <c r="K5" i="2"/>
  <c r="K4" i="2" l="1"/>
  <c r="K3" i="2" l="1"/>
  <c r="K2" i="2" l="1"/>
  <c r="K12" i="3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<sst xmlns="http://schemas.openxmlformats.org/spreadsheetml/2006/main" count="560" uniqueCount="357">
  <si>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</si>
  <si>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</si>
  <si>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</si>
  <si>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</si>
  <si>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</si>
  <si>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</si>
  <si>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</si>
  <si>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</si>
  <si>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</si>
  <si>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</si>
  <si>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</si>
  <si>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</si>
  <si>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</si>
  <si>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</si>
  <si>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</si>
  <si>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</si>
  <si>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</si>
  <si>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</si>
  <si>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</si>
  <si>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</si>
  <si>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</si>
  <si>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</si>
  <si>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</si>
  <si>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</si>
  <si>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</si>
  <si>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</si>
  <si>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</si>
  <si>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</si>
  <si>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</si>
  <si>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</si>
  <si>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</si>
  <si>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</si>
  <si>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</si>
  <si>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</si>
  <si>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</si>
  <si>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</si>
  <si>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</si>
  <si>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</si>
  <si>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</si>
  <si>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</si>
  <si>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</si>
  <si>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</si>
  <si>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</si>
  <si>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</si>
  <si>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</si>
  <si>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</si>
  <si>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</si>
  <si>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</si>
  <si>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</si>
  <si>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</si>
  <si>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</si>
  <si>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</si>
  <si>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</si>
  <si>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</si>
  <si>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</si>
  <si>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</si>
  <si>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</si>
  <si>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</si>
  <si>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</si>
  <si>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</si>
  <si>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</si>
  <si>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</si>
  <si>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</si>
  <si>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</si>
  <si>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</si>
  <si>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</si>
  <si>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</si>
  <si>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</si>
  <si>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</si>
  <si>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</si>
  <si>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</si>
  <si>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</si>
  <si>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</si>
  <si>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</si>
  <si>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</si>
  <si>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</si>
  <si>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</si>
  <si>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</si>
  <si>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</si>
  <si>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</si>
  <si>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</si>
  <si>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</si>
  <si>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</si>
  <si>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</si>
  <si>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</si>
  <si>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</si>
  <si>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</si>
  <si>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</si>
  <si>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</si>
  <si>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</si>
  <si>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</si>
  <si>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</si>
  <si>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</si>
  <si>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</si>
  <si>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</si>
  <si>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</si>
  <si>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</si>
  <si>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</si>
  <si>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</si>
  <si>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</si>
  <si>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</si>
  <si>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</si>
  <si>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</si>
  <si>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</si>
  <si>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</si>
  <si>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</si>
  <si>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</si>
  <si>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</si>
  <si>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</si>
  <si>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</si>
  <si>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</si>
  <si>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</si>
  <si>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</si>
  <si>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</si>
  <si>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</si>
  <si>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</si>
  <si>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</si>
  <si>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</si>
  <si>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</si>
  <si>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</si>
  <si>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</si>
  <si>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</si>
  <si>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</si>
  <si>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</si>
  <si>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</si>
  <si>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</si>
  <si>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</si>
  <si>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</si>
  <si>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</si>
  <si>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</si>
  <si>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</si>
  <si>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</si>
  <si>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</si>
  <si>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</si>
  <si>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</si>
  <si>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</si>
  <si>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</si>
  <si>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</si>
  <si>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</si>
  <si>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</si>
  <si>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</si>
  <si>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</si>
  <si>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</si>
  <si>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</si>
  <si>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</si>
  <si>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</si>
  <si>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</si>
  <si>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</si>
  <si>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</si>
  <si>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</si>
  <si>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</si>
  <si>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</si>
  <si>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</si>
  <si>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</si>
  <si>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</si>
  <si>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</si>
  <si>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</si>
  <si>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</si>
  <si>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</si>
  <si>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</si>
  <si>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</si>
  <si>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</si>
  <si>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</si>
  <si>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</si>
  <si>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</si>
  <si>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</si>
  <si>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</si>
  <si>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</si>
  <si>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</si>
  <si>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</si>
  <si>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</si>
  <si>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</si>
  <si>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</si>
  <si>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</si>
  <si>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</si>
  <si>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</si>
  <si>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</si>
  <si>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</si>
  <si>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</si>
  <si>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</si>
  <si>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</si>
  <si>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</si>
  <si>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</si>
  <si>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</si>
  <si>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</si>
  <si>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</si>
  <si>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</si>
  <si>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</si>
  <si>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</si>
  <si>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</si>
  <si>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</si>
  <si>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</si>
  <si>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</si>
  <si>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</si>
  <si>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</si>
  <si>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</si>
  <si>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</si>
  <si>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</si>
  <si>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</si>
  <si>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</si>
  <si>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</si>
  <si>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</si>
  <si>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</si>
  <si>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</si>
  <si>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</si>
  <si>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</si>
  <si>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</si>
  <si>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</si>
  <si>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</si>
  <si>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</si>
  <si>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</si>
  <si>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</si>
  <si>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</si>
  <si>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</si>
  <si>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</si>
  <si>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</si>
  <si>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</si>
  <si>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</si>
  <si>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</si>
  <si>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</si>
  <si>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</si>
  <si>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</si>
  <si>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</si>
  <si>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</si>
  <si>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</si>
  <si>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</si>
  <si>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</si>
  <si>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</si>
  <si>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</si>
  <si>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</si>
  <si>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</si>
  <si>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</si>
  <si>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</si>
  <si>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</si>
  <si>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</si>
  <si>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</si>
  <si>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</si>
  <si>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</si>
  <si>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</si>
  <si>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</si>
  <si>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</si>
  <si>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</si>
  <si>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</si>
  <si>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</si>
  <si>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</si>
  <si>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</si>
  <si>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</si>
  <si>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</si>
  <si>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</si>
  <si>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</si>
  <si>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</si>
  <si>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</si>
  <si>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</si>
  <si>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</si>
  <si>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</si>
  <si>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</si>
  <si>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</si>
  <si>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</si>
  <si>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</si>
  <si>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</si>
  <si>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</si>
  <si>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</si>
  <si>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</si>
  <si>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</si>
  <si>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</si>
  <si>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</si>
  <si>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</si>
  <si>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</si>
  <si>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</si>
  <si>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</si>
  <si>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</si>
  <si>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</si>
  <si>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>McAleer &amp; Rushe Site
(For FCS Facades)
Mellis Avenue
Kew
TW9 4BZ
Piotr Slowiak +44 (0) 7968 773 582</t>
  </si>
  <si>
    <t>order_id</t>
  </si>
  <si>
    <t>status</t>
  </si>
  <si>
    <t>timestamp</t>
  </si>
  <si>
    <t>Delivery Address</t>
  </si>
  <si>
    <t>11/02/2026
8:55</t>
  </si>
  <si>
    <t>Aberdeen Lane</t>
  </si>
  <si>
    <t>McAleer &amp; Rushe Contracts UK Ltd
(For FCS Facades)
Aberdeen Lane
Islington
N5 2EJ
Pawel +44 (0) 7971 679 193</t>
  </si>
  <si>
    <t xml:space="preserve"> EW1 2SF</t>
  </si>
  <si>
    <t>St George North london Ltd
(For FCS Facades)
London Dock
St George Construction Site
Pennington Street, EW1 2SF
Arek 07534 515 939</t>
  </si>
  <si>
    <t>Selly Oak</t>
  </si>
  <si>
    <t>McAleer &amp; Rushe Site
(For FCS Facades)
1 Chapel Lane
Selly Oak
B29 6SJ
Ruslan +44 (0) 7896 059 740</t>
  </si>
  <si>
    <t>London Dock</t>
  </si>
  <si>
    <t>Mellis Avenue</t>
  </si>
  <si>
    <t>SO-2139</t>
  </si>
  <si>
    <t>CW Spandrels &amp; Trays</t>
  </si>
  <si>
    <t>Elm Lane Fire Station</t>
  </si>
  <si>
    <t xml:space="preserve"> O&amp;P Construction Ltd (Sparta Clad)
Elm Lane Fire Station 
Sheffield
S5 7TW
Gavin Bailey 07719711503</t>
  </si>
  <si>
    <t>SO-2173</t>
  </si>
  <si>
    <t>Arched Wall Panels</t>
  </si>
  <si>
    <t>Astley Place</t>
  </si>
  <si>
    <t xml:space="preserve">46 MERRIAL STREET ST5 2AW 
Astley Place  
York Place  
Newcastle-Under -Lyme  
ST5 2AW 
PETRICA- +44 (0) 7453 264 227 </t>
  </si>
  <si>
    <t>SO-2204</t>
  </si>
  <si>
    <t>SO-2210</t>
  </si>
  <si>
    <t>SO-2214</t>
  </si>
  <si>
    <t>SO-2216</t>
  </si>
  <si>
    <t>SO-2217</t>
  </si>
  <si>
    <t>SO-2218</t>
  </si>
  <si>
    <t>SO-2219</t>
  </si>
  <si>
    <t>SO-2222</t>
  </si>
  <si>
    <t>SO-2227</t>
  </si>
  <si>
    <t>SO-2229</t>
  </si>
  <si>
    <t>SO-2230</t>
  </si>
  <si>
    <t>SO-2232</t>
  </si>
  <si>
    <t>SO-2233</t>
  </si>
  <si>
    <t>SO-2234</t>
  </si>
  <si>
    <t>SO-2235</t>
  </si>
  <si>
    <t xml:space="preserve"> </t>
  </si>
  <si>
    <t>SO-2236</t>
  </si>
  <si>
    <t>Brickwork Pods</t>
  </si>
  <si>
    <t>Brackets and rails call off for Castellated areas</t>
  </si>
  <si>
    <t>Additional Profiles</t>
  </si>
  <si>
    <t>Final Plenums</t>
  </si>
  <si>
    <t>AJE facades 
C/O Formation 
58 Cherry orchard 
Croydon 
CR0 6BA
Dragos +44 (0) 7719 309 409</t>
  </si>
  <si>
    <t>St George Plc
,Camden Goods Yard,
Chalk Farm Road, Chalk Farm
,Camden Town,London, NW1 8EH
Contact: Arek +44 (0) 7534 515 939</t>
  </si>
  <si>
    <t>CGY</t>
  </si>
  <si>
    <t>Kennington Park</t>
  </si>
  <si>
    <t>8A Harleyford Street
Oval
London
SE11 5SY
Cristi +44 (0)7743 949 805</t>
  </si>
  <si>
    <t>SO-2237</t>
  </si>
  <si>
    <t>Internal Cills</t>
  </si>
  <si>
    <t>S5 7TW</t>
  </si>
  <si>
    <t>TW9 4BZ</t>
  </si>
  <si>
    <t>N5 2EJ</t>
  </si>
  <si>
    <t>EW1 2SF</t>
  </si>
  <si>
    <t xml:space="preserve">ST5 2AW </t>
  </si>
  <si>
    <t>SO-2238</t>
  </si>
  <si>
    <t>SO-2239</t>
  </si>
  <si>
    <t>SO-2240</t>
  </si>
  <si>
    <t>SO-2241</t>
  </si>
  <si>
    <t>SO-2242</t>
  </si>
  <si>
    <t>SO-2243</t>
  </si>
  <si>
    <t>SO-2244</t>
  </si>
  <si>
    <t>SO-2245</t>
  </si>
  <si>
    <t>SO-2247</t>
  </si>
  <si>
    <t>SO-2248</t>
  </si>
  <si>
    <t>SO-2249</t>
  </si>
  <si>
    <t>SO-2251</t>
  </si>
  <si>
    <t>SO-2253</t>
  </si>
  <si>
    <t>SO-2255</t>
  </si>
  <si>
    <t>SO-2256</t>
  </si>
  <si>
    <t>SO-2257</t>
  </si>
  <si>
    <t>SO-2258</t>
  </si>
  <si>
    <t>Premier Inn Burgess Hill</t>
  </si>
  <si>
    <t>Premier Inn - Burgess Hill
West Sussex
RH15 9AL
Contact: Chris Mann +44 (0) 1603 327 373</t>
  </si>
  <si>
    <t>East Ferry</t>
  </si>
  <si>
    <t>12 East Ferry Road
London
E14 3LA
Sohan +44 (0) 7874 878 675</t>
  </si>
  <si>
    <t>https://what3words.com/cost.froze.shout</t>
  </si>
  <si>
    <t>SO-2259</t>
  </si>
  <si>
    <t>SO-2260</t>
  </si>
  <si>
    <t>SO-2261</t>
  </si>
  <si>
    <t>Broadway Central 2</t>
  </si>
  <si>
    <t>SO2139</t>
  </si>
  <si>
    <t>McAleer &amp; Rushe Contracts UK Ltd
(For FCS Facades)
Broadway Central PBSA
200 Renfield Street
Glasgow, G2 3BW
Jakub +44 (0) 7772 728 234</t>
  </si>
  <si>
    <t>SO-2265</t>
  </si>
  <si>
    <t>Add to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</si>
</sst>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* #,##0.00\ &quot;zł&quot;_-;\-* #,##0.00\ &quot;zł&quot;_-;_-* &quot;-&quot;??\ &quot;zł&quot;_-;_-@_-"/>
    <numFmt numFmtId="165" formatCode="_-[$€-2]* #,##0.00_-;\-[$€-2]* #,##0.00_-;_-[$€-2]* &quot;-&quot;??_-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indexed="12"/>
      <name val="Arial"/>
      <family val="2"/>
    </font>
    <font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</font>
    <font>
      <sz val="11"/>
      <color theme="0"/>
      <name val="Calibri"/>
      <family val="2"/>
    </font>
    <font>
      <b/>
      <sz val="11"/>
      <color rgb="FFFF0000"/>
      <name val="Calibri"/>
      <family val="2"/>
      <charset val="238"/>
    </font>
    <font>
      <b/>
      <sz val="11"/>
      <color theme="4" tint="-0.24994659260841701"/>
      <name val="Calibri"/>
      <family val="2"/>
      <charset val="238"/>
    </font>
    <font>
      <b/>
      <sz val="11"/>
      <color rgb="FF0DFF35"/>
      <name val="Calibri"/>
      <family val="2"/>
      <charset val="238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theme="8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4" tint="0.599963377788628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">
    <xf numFmtId="0" fontId="0" fillId="0" borderId="0"/>
    <xf numFmtId="165" fontId="8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164" fontId="8" fillId="0" borderId="0" applyFont="0" applyFill="0" applyBorder="0" applyAlignment="0" applyProtection="0"/>
    <xf numFmtId="0" fontId="3" fillId="0" borderId="0"/>
    <xf numFmtId="0" fontId="13" fillId="4" borderId="0"/>
    <xf numFmtId="0" fontId="14" fillId="5" borderId="0"/>
    <xf numFmtId="0" fontId="8" fillId="0" borderId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5" fillId="0" borderId="5">
      <alignment horizontal="center" vertical="center"/>
    </xf>
    <xf numFmtId="0" fontId="16" fillId="6" borderId="0">
      <alignment horizontal="center" vertical="center"/>
    </xf>
    <xf numFmtId="0" fontId="17" fillId="7" borderId="0">
      <alignment horizontal="center" vertical="center"/>
    </xf>
    <xf numFmtId="0" fontId="18" fillId="0" borderId="0" applyNumberFormat="0" applyFill="0" applyBorder="0" applyAlignment="0" applyProtection="0"/>
  </cellStyleXfs>
  <cellXfs count="39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0" fontId="0" fillId="0" borderId="4" xfId="0" applyBorder="1" applyAlignment="1">
      <alignment horizontal="center" vertical="center"/>
    </xf>
    <xf numFmtId="9" fontId="6" fillId="2" borderId="4" xfId="0" applyNumberFormat="1" applyFont="1" applyFill="1" applyBorder="1" applyAlignment="1">
      <alignment horizontal="center" vertical="center"/>
    </xf>
    <xf numFmtId="9" fontId="18" fillId="0" borderId="0" xfId="14" applyNumberFormat="1" applyAlignment="1">
      <alignment horizontal="center" vertical="center"/>
    </xf>
  </cellXfs>
  <cellStyles count="15">
    <cellStyle name="Accent5 2" xfId="7" xr:uid="{E1A192BE-A70B-4CDE-B0C5-DBCC20E6465E}"/>
    <cellStyle name="Akcent 5 2" xfId="10" xr:uid="{8F338B18-D819-46D2-A970-BA19C72B603F}"/>
    <cellStyle name="Currency 2" xfId="4" xr:uid="{A659B78F-9AEA-4A41-A162-162C92F19117}"/>
    <cellStyle name="Dobry 2" xfId="9" xr:uid="{4A1EFC97-54DC-47CA-B9FE-A2079D9E2AF8}"/>
    <cellStyle name="Euro" xfId="1" xr:uid="{23BB7D0C-8687-47B3-B7BD-A89FE747966C}"/>
    <cellStyle name="Galwanizacja" xfId="13" xr:uid="{330B12C1-0E97-4A24-8938-5E6BBB5B5D43}"/>
    <cellStyle name="Good 2" xfId="6" xr:uid="{D08679CB-2C69-4BA0-BBE9-1FCABDF097BB}"/>
    <cellStyle name="Hyperlink" xfId="14" builtinId="8"/>
    <cellStyle name="Hyperlink 2" xfId="2" xr:uid="{F51D2A67-306F-4297-AEE4-0F2BBE4AB55A}"/>
    <cellStyle name="Lustro" xfId="12" xr:uid="{6F126DC3-F1C2-485E-BEDC-0CDBE8189302}"/>
    <cellStyle name="Normal" xfId="0" builtinId="0"/>
    <cellStyle name="Normal 2" xfId="3" xr:uid="{EC29638F-E412-49F6-9267-C7D407625E73}"/>
    <cellStyle name="Normal 3" xfId="5" xr:uid="{CE3B0A17-4803-48AD-BC26-379EFACACBB6}"/>
    <cellStyle name="Normalny 2" xfId="8" xr:uid="{522C6CCC-2E85-47DF-9B48-C321C4FA81EB}"/>
    <cellStyle name="Spawanie" xfId="11" xr:uid="{99AA20AB-74CF-442A-A961-6D0FDC7F049C}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2" tint="-9.9948118533890809E-2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ill>
        <patternFill patternType="mediumGray">
          <fgColor theme="4"/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3" defaultTableStyle="TableStyleMedium2" defaultPivotStyle="PivotStyleLight16">
    <tableStyle name="Slicer Style 1" pivot="0" table="0" count="1" xr9:uid="{697A4B7A-E931-4F79-A46F-0646FCB4C2EE}">
      <tableStyleElement type="wholeTable" dxfId="22"/>
    </tableStyle>
    <tableStyle name="Slicer Style 2" pivot="0" table="0" count="1" xr9:uid="{A8598257-55EA-43F2-A562-A1752488766E}">
      <tableStyleElement type="wholeTable" dxfId="21"/>
    </tableStyle>
    <tableStyle name="SlicerStyleDark1 2" pivot="0" table="0" count="2" xr9:uid="{04587E0B-C3DA-4B36-9B29-95EE1643D9BF}">
      <tableStyleElement type="wholeTable" dxfId="20"/>
      <tableStyleElement type="headerRow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2" totalsRowShown="0" headerRowDxfId="18" dataDxfId="17">
  <autoFilter ref="A1:Q42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hat3words.com/cost.froze.sh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2"/>
  <sheetViews>
    <sheetView tabSelected="1" zoomScale="85" zoomScaleNormal="85" workbookViewId="0">
      <pane ySplit="1" topLeftCell="A33" activePane="bottomLeft" state="frozen"/>
      <selection pane="bottomLeft" activeCell="E36" sqref="E36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273</v>
      </c>
      <c r="D1" s="12" t="s">
        <v>33</v>
      </c>
      <c r="E1" s="12" t="s">
        <v>274</v>
      </c>
      <c r="F1" s="13" t="s">
        <v>31</v>
      </c>
      <c r="G1" s="12" t="s">
        <v>30</v>
      </c>
      <c r="H1" s="12" t="s">
        <v>276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266</v>
      </c>
      <c r="Q1" s="12" t="s">
        <v>275</v>
      </c>
    </row>
    <row r="2" spans="1:17" ht="90" x14ac:dyDescent="0.25">
      <c r="A2" s="12" t="s">
        <v>284</v>
      </c>
      <c r="B2" s="12" t="s">
        <v>286</v>
      </c>
      <c r="C2" s="15">
        <v>3382</v>
      </c>
      <c r="D2" s="12" t="s">
        <v>287</v>
      </c>
      <c r="E2" s="36" t="s">
        <v>3</v>
      </c>
      <c r="F2" s="12"/>
      <c r="G2" s="12" t="s">
        <v>280</v>
      </c>
      <c r="H2" s="24" t="s">
        <v>281</v>
      </c>
      <c r="I2" s="14"/>
      <c r="J2" s="14"/>
      <c r="K2" s="37">
        <f t="shared" ref="K2" si="0">AVERAGE(L2:N2)</f>
        <v>3.3333333333333335E-3</v>
      </c>
      <c r="L2" s="37">
        <v>0.01</v>
      </c>
      <c r="M2" s="37">
        <v>0</v>
      </c>
      <c r="N2" s="37">
        <v>0</v>
      </c>
      <c r="P2" s="16"/>
      <c r="Q2" s="34" t="s">
        <v>277</v>
      </c>
    </row>
    <row r="3" spans="1:17" ht="90" x14ac:dyDescent="0.25">
      <c r="A3" s="12" t="s">
        <v>278</v>
      </c>
      <c r="B3" s="12" t="s">
        <v>290</v>
      </c>
      <c r="C3" s="15">
        <v>3674</v>
      </c>
      <c r="D3" s="12" t="s">
        <v>291</v>
      </c>
      <c r="E3" s="36" t="s">
        <v>3</v>
      </c>
      <c r="F3" s="12"/>
      <c r="G3" s="12"/>
      <c r="H3" s="24" t="s">
        <v>279</v>
      </c>
      <c r="I3" s="14"/>
      <c r="J3" s="14"/>
      <c r="K3" s="32">
        <f t="shared" ref="K3" si="1">AVERAGE(L3:N3)</f>
        <v>3.3333333333333335E-3</v>
      </c>
      <c r="L3" s="32">
        <v>0.01</v>
      </c>
      <c r="M3" s="32">
        <v>0</v>
      </c>
      <c r="N3" s="32">
        <v>0</v>
      </c>
      <c r="P3" s="16"/>
      <c r="Q3" s="16"/>
    </row>
    <row r="4" spans="1:17" ht="90" x14ac:dyDescent="0.25">
      <c r="A4" s="12" t="s">
        <v>278</v>
      </c>
      <c r="B4" s="12" t="s">
        <v>294</v>
      </c>
      <c r="C4" s="15"/>
      <c r="D4" s="12"/>
      <c r="E4" s="12"/>
      <c r="F4" s="12"/>
      <c r="G4" s="12"/>
      <c r="H4" s="24" t="s">
        <v>279</v>
      </c>
      <c r="I4" s="14"/>
      <c r="J4" s="14"/>
      <c r="K4" s="37">
        <f t="shared" ref="K4" si="2">AVERAGE(L4:N4)</f>
        <v>3.3333333333333335E-3</v>
      </c>
      <c r="L4" s="37">
        <v>0.01</v>
      </c>
      <c r="M4" s="37">
        <v>0</v>
      </c>
      <c r="N4" s="37">
        <v>0</v>
      </c>
      <c r="P4" s="16"/>
      <c r="Q4" s="16"/>
    </row>
    <row r="5" spans="1:17" ht="90" x14ac:dyDescent="0.25">
      <c r="A5" s="12" t="s">
        <v>260</v>
      </c>
      <c r="B5" s="12" t="s">
        <v>295</v>
      </c>
      <c r="C5" s="15"/>
      <c r="D5" s="12"/>
      <c r="E5" s="36"/>
      <c r="F5" s="12"/>
      <c r="G5" s="12"/>
      <c r="H5" s="24" t="s">
        <v>315</v>
      </c>
      <c r="I5" s="14"/>
      <c r="J5" s="14"/>
      <c r="K5" s="37">
        <f t="shared" ref="K5:K18" si="3">AVERAGE(L5:N5)</f>
        <v>3.3333333333333335E-3</v>
      </c>
      <c r="L5" s="37">
        <v>0.01</v>
      </c>
      <c r="M5" s="37">
        <v>0</v>
      </c>
      <c r="N5" s="37">
        <v>0</v>
      </c>
      <c r="P5" s="16"/>
      <c r="Q5" s="16"/>
    </row>
    <row r="6" spans="1:17" ht="90" x14ac:dyDescent="0.25">
      <c r="A6" s="12" t="s">
        <v>278</v>
      </c>
      <c r="B6" s="12" t="s">
        <v>296</v>
      </c>
      <c r="C6" s="15"/>
      <c r="D6" s="12"/>
      <c r="E6" s="12"/>
      <c r="F6" s="12"/>
      <c r="G6" s="12"/>
      <c r="H6" s="24" t="s">
        <v>279</v>
      </c>
      <c r="I6" s="14"/>
      <c r="J6" s="14"/>
      <c r="K6" s="37">
        <f t="shared" si="3"/>
        <v>3.3333333333333335E-3</v>
      </c>
      <c r="L6" s="37">
        <v>0.01</v>
      </c>
      <c r="M6" s="37">
        <v>0</v>
      </c>
      <c r="N6" s="37">
        <v>0</v>
      </c>
      <c r="P6" s="16"/>
      <c r="Q6" s="16"/>
    </row>
    <row r="7" spans="1:17" ht="75" x14ac:dyDescent="0.25">
      <c r="A7" s="12" t="s">
        <v>318</v>
      </c>
      <c r="B7" s="12" t="s">
        <v>297</v>
      </c>
      <c r="C7" s="15"/>
      <c r="D7" s="12"/>
      <c r="E7" s="12"/>
      <c r="F7" s="12"/>
      <c r="G7" s="12"/>
      <c r="H7" s="24" t="s">
        <v>319</v>
      </c>
      <c r="I7" s="14"/>
      <c r="J7" s="14"/>
      <c r="K7" s="37">
        <f t="shared" si="3"/>
        <v>3.3333333333333335E-3</v>
      </c>
      <c r="L7" s="37">
        <v>0.01</v>
      </c>
      <c r="M7" s="37">
        <v>0</v>
      </c>
      <c r="N7" s="37">
        <v>0</v>
      </c>
      <c r="P7" s="16"/>
      <c r="Q7" s="16"/>
    </row>
    <row r="8" spans="1:17" ht="90" x14ac:dyDescent="0.25">
      <c r="A8" s="12" t="s">
        <v>285</v>
      </c>
      <c r="B8" s="12" t="s">
        <v>298</v>
      </c>
      <c r="C8" s="15"/>
      <c r="D8" s="12"/>
      <c r="E8" s="12"/>
      <c r="F8" s="12"/>
      <c r="G8" s="12"/>
      <c r="H8" s="24" t="s">
        <v>272</v>
      </c>
      <c r="I8" s="14"/>
      <c r="J8" s="14"/>
      <c r="K8" s="37">
        <f t="shared" si="3"/>
        <v>3.3333333333333335E-3</v>
      </c>
      <c r="L8" s="37">
        <v>0.01</v>
      </c>
      <c r="M8" s="37">
        <v>0</v>
      </c>
      <c r="N8" s="37">
        <v>0</v>
      </c>
      <c r="P8" s="16"/>
      <c r="Q8" s="16"/>
    </row>
    <row r="9" spans="1:17" ht="90" x14ac:dyDescent="0.25">
      <c r="A9" s="12" t="s">
        <v>285</v>
      </c>
      <c r="B9" s="12" t="s">
        <v>299</v>
      </c>
      <c r="C9" s="15"/>
      <c r="D9" s="12"/>
      <c r="E9" s="12"/>
      <c r="F9" s="12"/>
      <c r="G9" s="12"/>
      <c r="H9" s="24" t="s">
        <v>272</v>
      </c>
      <c r="I9" s="14"/>
      <c r="J9" s="14"/>
      <c r="K9" s="37">
        <f t="shared" si="3"/>
        <v>3.3333333333333335E-3</v>
      </c>
      <c r="L9" s="37">
        <v>0.01</v>
      </c>
      <c r="M9" s="37">
        <v>0</v>
      </c>
      <c r="N9" s="37">
        <v>0</v>
      </c>
      <c r="P9" s="16"/>
      <c r="Q9" s="16"/>
    </row>
    <row r="10" spans="1:17" ht="90" x14ac:dyDescent="0.25">
      <c r="A10" s="12" t="s">
        <v>260</v>
      </c>
      <c r="B10" s="12" t="s">
        <v>300</v>
      </c>
      <c r="C10" s="15"/>
      <c r="D10" s="12"/>
      <c r="E10" s="12"/>
      <c r="F10" s="12"/>
      <c r="G10" s="12"/>
      <c r="H10" s="24" t="s">
        <v>315</v>
      </c>
      <c r="I10" s="14"/>
      <c r="J10" s="14"/>
      <c r="K10" s="37">
        <f t="shared" si="3"/>
        <v>3.3333333333333335E-3</v>
      </c>
      <c r="L10" s="37">
        <v>0.01</v>
      </c>
      <c r="M10" s="37">
        <v>0</v>
      </c>
      <c r="N10" s="37">
        <v>0</v>
      </c>
      <c r="P10" s="16"/>
      <c r="Q10" s="16"/>
    </row>
    <row r="11" spans="1:17" ht="75" x14ac:dyDescent="0.25">
      <c r="A11" s="12" t="s">
        <v>317</v>
      </c>
      <c r="B11" s="12" t="s">
        <v>301</v>
      </c>
      <c r="C11" s="15"/>
      <c r="D11" s="12"/>
      <c r="E11" s="12"/>
      <c r="F11" s="12"/>
      <c r="G11" s="12"/>
      <c r="H11" s="24" t="s">
        <v>316</v>
      </c>
      <c r="I11" s="14"/>
      <c r="J11" s="14"/>
      <c r="K11" s="37">
        <f t="shared" si="3"/>
        <v>3.3333333333333335E-3</v>
      </c>
      <c r="L11" s="37">
        <v>0.01</v>
      </c>
      <c r="M11" s="37">
        <v>0</v>
      </c>
      <c r="N11" s="37">
        <v>0</v>
      </c>
      <c r="P11" s="16"/>
      <c r="Q11" s="16"/>
    </row>
    <row r="12" spans="1:17" ht="90" x14ac:dyDescent="0.25">
      <c r="A12" s="12" t="s">
        <v>260</v>
      </c>
      <c r="B12" s="12" t="s">
        <v>302</v>
      </c>
      <c r="C12" s="15"/>
      <c r="D12" s="12"/>
      <c r="E12" s="12"/>
      <c r="F12" s="12"/>
      <c r="G12" s="12"/>
      <c r="H12" s="24" t="s">
        <v>315</v>
      </c>
      <c r="I12" s="14"/>
      <c r="J12" s="14"/>
      <c r="K12" s="37">
        <f t="shared" si="3"/>
        <v>3.3333333333333335E-3</v>
      </c>
      <c r="L12" s="37">
        <v>0.01</v>
      </c>
      <c r="M12" s="37">
        <v>0</v>
      </c>
      <c r="N12" s="37">
        <v>0</v>
      </c>
      <c r="P12" s="16"/>
      <c r="Q12" s="16"/>
    </row>
    <row r="13" spans="1:17" ht="90" x14ac:dyDescent="0.25">
      <c r="A13" s="12" t="s">
        <v>282</v>
      </c>
      <c r="B13" s="12" t="s">
        <v>303</v>
      </c>
      <c r="C13" s="15"/>
      <c r="D13" s="12"/>
      <c r="E13" s="12"/>
      <c r="F13" s="12"/>
      <c r="G13" s="12"/>
      <c r="H13" s="24" t="s">
        <v>283</v>
      </c>
      <c r="I13" s="14"/>
      <c r="J13" s="14"/>
      <c r="K13" s="37">
        <f t="shared" si="3"/>
        <v>3.3333333333333335E-3</v>
      </c>
      <c r="L13" s="37">
        <v>0.01</v>
      </c>
      <c r="M13" s="37">
        <v>0</v>
      </c>
      <c r="N13" s="37">
        <v>0</v>
      </c>
      <c r="P13" s="16"/>
      <c r="Q13" s="16"/>
    </row>
    <row r="14" spans="1:17" ht="75" x14ac:dyDescent="0.25">
      <c r="A14" s="12" t="s">
        <v>288</v>
      </c>
      <c r="B14" s="12" t="s">
        <v>304</v>
      </c>
      <c r="C14" s="15"/>
      <c r="D14" s="12"/>
      <c r="E14" s="12"/>
      <c r="F14" s="12"/>
      <c r="G14" s="12" t="s">
        <v>322</v>
      </c>
      <c r="H14" s="24" t="s">
        <v>289</v>
      </c>
      <c r="I14" s="14"/>
      <c r="J14" s="14"/>
      <c r="K14" s="37">
        <f t="shared" si="3"/>
        <v>3.3333333333333335E-3</v>
      </c>
      <c r="L14" s="37">
        <v>0.01</v>
      </c>
      <c r="M14" s="37">
        <v>0</v>
      </c>
      <c r="N14" s="37">
        <v>0</v>
      </c>
      <c r="P14" s="16"/>
      <c r="Q14" s="16"/>
    </row>
    <row r="15" spans="1:17" ht="90" x14ac:dyDescent="0.25">
      <c r="A15" s="12" t="s">
        <v>285</v>
      </c>
      <c r="B15" s="12" t="s">
        <v>305</v>
      </c>
      <c r="C15" s="15"/>
      <c r="D15" s="12"/>
      <c r="E15" s="12"/>
      <c r="F15" s="12"/>
      <c r="G15" s="12" t="s">
        <v>323</v>
      </c>
      <c r="H15" s="24" t="s">
        <v>272</v>
      </c>
      <c r="I15" s="14"/>
      <c r="J15" s="14"/>
      <c r="K15" s="37">
        <f t="shared" si="3"/>
        <v>3.3333333333333335E-3</v>
      </c>
      <c r="L15" s="37">
        <v>0.01</v>
      </c>
      <c r="M15" s="37">
        <v>0</v>
      </c>
      <c r="N15" s="37">
        <v>0</v>
      </c>
      <c r="P15" s="16"/>
      <c r="Q15" s="16"/>
    </row>
    <row r="16" spans="1:17" ht="90" x14ac:dyDescent="0.25">
      <c r="A16" s="12" t="s">
        <v>278</v>
      </c>
      <c r="B16" s="12" t="s">
        <v>306</v>
      </c>
      <c r="C16" s="15">
        <v>4070</v>
      </c>
      <c r="D16" s="12" t="s">
        <v>313</v>
      </c>
      <c r="E16" s="12"/>
      <c r="F16" s="12"/>
      <c r="G16" s="12" t="s">
        <v>324</v>
      </c>
      <c r="H16" s="24" t="s">
        <v>279</v>
      </c>
      <c r="I16" s="14"/>
      <c r="J16" s="14"/>
      <c r="K16" s="37">
        <f t="shared" si="3"/>
        <v>3.3333333333333335E-3</v>
      </c>
      <c r="L16" s="37">
        <v>0.01</v>
      </c>
      <c r="M16" s="37">
        <v>0</v>
      </c>
      <c r="N16" s="37">
        <v>0</v>
      </c>
      <c r="P16" s="16"/>
      <c r="Q16" s="16"/>
    </row>
    <row r="17" spans="1:17" ht="90" x14ac:dyDescent="0.25">
      <c r="A17" s="12" t="s">
        <v>284</v>
      </c>
      <c r="B17" s="12" t="s">
        <v>307</v>
      </c>
      <c r="C17" s="15">
        <v>4072</v>
      </c>
      <c r="D17" s="12" t="s">
        <v>314</v>
      </c>
      <c r="E17" s="12"/>
      <c r="F17" s="12"/>
      <c r="G17" s="12" t="s">
        <v>325</v>
      </c>
      <c r="H17" s="24" t="s">
        <v>281</v>
      </c>
      <c r="I17" s="14"/>
      <c r="J17" s="14"/>
      <c r="K17" s="37">
        <f t="shared" si="3"/>
        <v>3.3333333333333335E-3</v>
      </c>
      <c r="L17" s="37">
        <v>0.01</v>
      </c>
      <c r="M17" s="37">
        <v>0</v>
      </c>
      <c r="N17" s="37">
        <v>0</v>
      </c>
      <c r="P17" s="16"/>
      <c r="Q17" s="16"/>
    </row>
    <row r="18" spans="1:17" ht="90" x14ac:dyDescent="0.25">
      <c r="A18" s="12" t="s">
        <v>292</v>
      </c>
      <c r="B18" s="12" t="s">
        <v>308</v>
      </c>
      <c r="C18" s="15">
        <v>12606</v>
      </c>
      <c r="D18" s="12" t="s">
        <v>312</v>
      </c>
      <c r="E18" s="12"/>
      <c r="F18" s="12"/>
      <c r="G18" s="12" t="s">
        <v>326</v>
      </c>
      <c r="H18" s="24" t="s">
        <v>293</v>
      </c>
      <c r="I18" s="14"/>
      <c r="J18" s="14"/>
      <c r="K18" s="37">
        <f t="shared" si="3"/>
        <v>3.3333333333333335E-3</v>
      </c>
      <c r="L18" s="37">
        <v>0.01</v>
      </c>
      <c r="M18" s="37">
        <v>0</v>
      </c>
      <c r="N18" s="37">
        <v>0</v>
      </c>
      <c r="P18" s="16"/>
      <c r="Q18" s="16"/>
    </row>
    <row r="19" spans="1:17" ht="90" x14ac:dyDescent="0.25">
      <c r="A19" s="12" t="s">
        <v>285</v>
      </c>
      <c r="B19" s="12" t="s">
        <v>310</v>
      </c>
      <c r="C19" s="15">
        <v>4124</v>
      </c>
      <c r="D19" s="12" t="s">
        <v>311</v>
      </c>
      <c r="E19" s="36"/>
      <c r="F19" s="12"/>
      <c r="G19" s="12" t="s">
        <v>323</v>
      </c>
      <c r="H19" s="24" t="s">
        <v>272</v>
      </c>
      <c r="I19" s="14"/>
      <c r="J19" s="14"/>
      <c r="K19" s="37">
        <f t="shared" ref="K19" si="4">AVERAGE(L19:N19)</f>
        <v>3.3333333333333335E-3</v>
      </c>
      <c r="L19" s="37">
        <v>0.01</v>
      </c>
      <c r="M19" s="37">
        <v>0</v>
      </c>
      <c r="N19" s="37">
        <v>0</v>
      </c>
      <c r="P19" s="16"/>
      <c r="Q19" s="16"/>
    </row>
    <row r="20" spans="1:17" ht="90" x14ac:dyDescent="0.25">
      <c r="A20" s="12" t="s">
        <v>278</v>
      </c>
      <c r="B20" s="12" t="s">
        <v>320</v>
      </c>
      <c r="C20" s="15">
        <v>4131</v>
      </c>
      <c r="D20" s="12" t="s">
        <v>321</v>
      </c>
      <c r="E20" s="36"/>
      <c r="F20" s="12"/>
      <c r="G20" s="12" t="s">
        <v>324</v>
      </c>
      <c r="H20" s="24" t="s">
        <v>279</v>
      </c>
      <c r="I20" s="14"/>
      <c r="J20" s="14"/>
      <c r="K20" s="37">
        <f t="shared" ref="K20" si="5">AVERAGE(L20:N20)</f>
        <v>3.3333333333333335E-3</v>
      </c>
      <c r="L20" s="37">
        <v>0.01</v>
      </c>
      <c r="M20" s="37">
        <v>0</v>
      </c>
      <c r="N20" s="37">
        <v>0</v>
      </c>
      <c r="P20" s="16"/>
      <c r="Q20" s="16"/>
    </row>
    <row r="21" spans="1:17" ht="90" x14ac:dyDescent="0.25">
      <c r="A21" s="12" t="s">
        <v>285</v>
      </c>
      <c r="B21" s="12" t="s">
        <v>327</v>
      </c>
      <c r="C21" s="15">
        <v>4097</v>
      </c>
      <c r="D21" s="12"/>
      <c r="E21" s="36"/>
      <c r="F21" s="12"/>
      <c r="G21" s="12"/>
      <c r="H21" s="24" t="s">
        <v>272</v>
      </c>
      <c r="I21" s="14"/>
      <c r="J21" s="14"/>
      <c r="K21" s="37">
        <f t="shared" ref="K21:K24" si="6">AVERAGE(L21:N21)</f>
        <v>3.3333333333333335E-3</v>
      </c>
      <c r="L21" s="37">
        <v>0.01</v>
      </c>
      <c r="M21" s="37">
        <v>0</v>
      </c>
      <c r="N21" s="37">
        <v>0</v>
      </c>
      <c r="P21" s="16"/>
      <c r="Q21" s="16"/>
    </row>
    <row r="22" spans="1:17" ht="90" x14ac:dyDescent="0.25">
      <c r="A22" s="12" t="s">
        <v>292</v>
      </c>
      <c r="B22" s="12" t="s">
        <v>328</v>
      </c>
      <c r="C22" s="15">
        <v>12637</v>
      </c>
      <c r="D22" s="12"/>
      <c r="E22" s="12"/>
      <c r="F22" s="12"/>
      <c r="G22" s="12"/>
      <c r="H22" s="24" t="s">
        <v>293</v>
      </c>
      <c r="I22" s="14"/>
      <c r="J22" s="14"/>
      <c r="K22" s="37">
        <f t="shared" si="6"/>
        <v>3.3333333333333335E-3</v>
      </c>
      <c r="L22" s="37">
        <v>0.01</v>
      </c>
      <c r="M22" s="37">
        <v>0</v>
      </c>
      <c r="N22" s="37">
        <v>0</v>
      </c>
      <c r="P22" s="16"/>
      <c r="Q22" s="16"/>
    </row>
    <row r="23" spans="1:17" ht="90" x14ac:dyDescent="0.25">
      <c r="A23" s="12" t="s">
        <v>285</v>
      </c>
      <c r="B23" s="12" t="s">
        <v>329</v>
      </c>
      <c r="C23" s="15">
        <v>4148</v>
      </c>
      <c r="D23" s="12"/>
      <c r="E23" s="12"/>
      <c r="F23" s="12"/>
      <c r="G23" s="12"/>
      <c r="H23" s="24" t="s">
        <v>272</v>
      </c>
      <c r="I23" s="14"/>
      <c r="J23" s="14"/>
      <c r="K23" s="37">
        <f t="shared" si="6"/>
        <v>3.3333333333333335E-3</v>
      </c>
      <c r="L23" s="37">
        <v>0.01</v>
      </c>
      <c r="M23" s="37">
        <v>0</v>
      </c>
      <c r="N23" s="37">
        <v>0</v>
      </c>
      <c r="P23" s="16"/>
      <c r="Q23" s="16"/>
    </row>
    <row r="24" spans="1:17" ht="90" x14ac:dyDescent="0.25">
      <c r="A24" s="12" t="s">
        <v>282</v>
      </c>
      <c r="B24" s="12" t="s">
        <v>330</v>
      </c>
      <c r="C24" s="15">
        <v>4156</v>
      </c>
      <c r="D24" s="12"/>
      <c r="E24" s="12"/>
      <c r="F24" s="12"/>
      <c r="G24" s="12"/>
      <c r="H24" s="24" t="s">
        <v>283</v>
      </c>
      <c r="I24" s="14"/>
      <c r="J24" s="14"/>
      <c r="K24" s="37">
        <f t="shared" si="6"/>
        <v>3.3333333333333335E-3</v>
      </c>
      <c r="L24" s="37">
        <v>0.01</v>
      </c>
      <c r="M24" s="37">
        <v>0</v>
      </c>
      <c r="N24" s="37">
        <v>0</v>
      </c>
      <c r="P24" s="16"/>
      <c r="Q24" s="16"/>
    </row>
    <row r="25" spans="1:17" ht="90" x14ac:dyDescent="0.25">
      <c r="A25" s="12" t="s">
        <v>284</v>
      </c>
      <c r="B25" s="12" t="s">
        <v>331</v>
      </c>
      <c r="C25" s="15">
        <v>3382</v>
      </c>
      <c r="D25" s="12"/>
      <c r="E25" s="36"/>
      <c r="F25" s="12"/>
      <c r="G25" s="12"/>
      <c r="H25" s="24" t="s">
        <v>281</v>
      </c>
      <c r="I25" s="14"/>
      <c r="J25" s="14"/>
      <c r="K25" s="37">
        <f t="shared" ref="K25:K29" si="7">AVERAGE(L25:N25)</f>
        <v>3.3333333333333335E-3</v>
      </c>
      <c r="L25" s="37">
        <v>0.01</v>
      </c>
      <c r="M25" s="37">
        <v>0</v>
      </c>
      <c r="N25" s="37">
        <v>0</v>
      </c>
      <c r="P25" s="16"/>
      <c r="Q25" s="16"/>
    </row>
    <row r="26" spans="1:17" ht="90" x14ac:dyDescent="0.25">
      <c r="A26" s="12" t="s">
        <v>284</v>
      </c>
      <c r="B26" s="12" t="s">
        <v>332</v>
      </c>
      <c r="C26" s="15">
        <v>3382</v>
      </c>
      <c r="D26" s="12"/>
      <c r="E26" s="12"/>
      <c r="F26" s="12"/>
      <c r="G26" s="12"/>
      <c r="H26" s="24" t="s">
        <v>281</v>
      </c>
      <c r="I26" s="14"/>
      <c r="J26" s="14"/>
      <c r="K26" s="37">
        <f t="shared" si="7"/>
        <v>3.3333333333333335E-3</v>
      </c>
      <c r="L26" s="37">
        <v>0.01</v>
      </c>
      <c r="M26" s="37">
        <v>0</v>
      </c>
      <c r="N26" s="37">
        <v>0</v>
      </c>
      <c r="P26" s="16"/>
      <c r="Q26" s="16"/>
    </row>
    <row r="27" spans="1:17" ht="90" x14ac:dyDescent="0.25">
      <c r="A27" s="12" t="s">
        <v>284</v>
      </c>
      <c r="B27" s="12" t="s">
        <v>333</v>
      </c>
      <c r="C27" s="15">
        <v>3382</v>
      </c>
      <c r="D27" s="12"/>
      <c r="E27" s="12"/>
      <c r="F27" s="12"/>
      <c r="G27" s="12"/>
      <c r="H27" s="24" t="s">
        <v>281</v>
      </c>
      <c r="I27" s="14"/>
      <c r="J27" s="14"/>
      <c r="K27" s="37">
        <f t="shared" si="7"/>
        <v>3.3333333333333335E-3</v>
      </c>
      <c r="L27" s="37">
        <v>0.01</v>
      </c>
      <c r="M27" s="37">
        <v>0</v>
      </c>
      <c r="N27" s="37">
        <v>0</v>
      </c>
      <c r="P27" s="16"/>
      <c r="Q27" s="16"/>
    </row>
    <row r="28" spans="1:17" ht="90" x14ac:dyDescent="0.25">
      <c r="A28" s="12" t="s">
        <v>284</v>
      </c>
      <c r="B28" s="12" t="s">
        <v>334</v>
      </c>
      <c r="C28" s="15">
        <v>3382</v>
      </c>
      <c r="D28" s="12"/>
      <c r="E28" s="12"/>
      <c r="F28" s="12"/>
      <c r="G28" s="12"/>
      <c r="H28" s="24" t="s">
        <v>281</v>
      </c>
      <c r="I28" s="14"/>
      <c r="J28" s="14"/>
      <c r="K28" s="37">
        <f t="shared" si="7"/>
        <v>3.3333333333333335E-3</v>
      </c>
      <c r="L28" s="37">
        <v>0.01</v>
      </c>
      <c r="M28" s="37">
        <v>0</v>
      </c>
      <c r="N28" s="37">
        <v>0</v>
      </c>
      <c r="P28" s="16"/>
      <c r="Q28" s="16"/>
    </row>
    <row r="29" spans="1:17" ht="90" x14ac:dyDescent="0.25">
      <c r="A29" s="12" t="s">
        <v>285</v>
      </c>
      <c r="B29" s="12" t="s">
        <v>335</v>
      </c>
      <c r="C29" s="15">
        <v>4160</v>
      </c>
      <c r="D29" s="12"/>
      <c r="E29" s="12"/>
      <c r="F29" s="12"/>
      <c r="G29" s="12"/>
      <c r="H29" s="24" t="s">
        <v>272</v>
      </c>
      <c r="I29" s="14"/>
      <c r="J29" s="14"/>
      <c r="K29" s="37">
        <f t="shared" si="7"/>
        <v>3.3333333333333335E-3</v>
      </c>
      <c r="L29" s="37">
        <v>0.01</v>
      </c>
      <c r="M29" s="37">
        <v>0</v>
      </c>
      <c r="N29" s="37">
        <v>0</v>
      </c>
      <c r="P29" s="16"/>
      <c r="Q29" s="16"/>
    </row>
    <row r="30" spans="1:17" ht="90" x14ac:dyDescent="0.25">
      <c r="A30" s="12" t="s">
        <v>278</v>
      </c>
      <c r="B30" s="12" t="s">
        <v>336</v>
      </c>
      <c r="C30" s="15">
        <v>4166</v>
      </c>
      <c r="D30" s="12"/>
      <c r="E30" s="36"/>
      <c r="F30" s="12"/>
      <c r="G30" s="12"/>
      <c r="H30" s="24" t="s">
        <v>279</v>
      </c>
      <c r="I30" s="14"/>
      <c r="J30" s="14"/>
      <c r="K30" s="37">
        <f t="shared" ref="K30:K31" si="8">AVERAGE(L30:N30)</f>
        <v>3.3333333333333335E-3</v>
      </c>
      <c r="L30" s="37">
        <v>0.01</v>
      </c>
      <c r="M30" s="37">
        <v>0</v>
      </c>
      <c r="N30" s="37">
        <v>0</v>
      </c>
      <c r="P30" s="16"/>
      <c r="Q30" s="16"/>
    </row>
    <row r="31" spans="1:17" ht="90" x14ac:dyDescent="0.25">
      <c r="A31" s="12" t="s">
        <v>285</v>
      </c>
      <c r="B31" s="12" t="s">
        <v>337</v>
      </c>
      <c r="C31" s="15">
        <v>4168</v>
      </c>
      <c r="D31" s="12"/>
      <c r="E31" s="12"/>
      <c r="F31" s="12"/>
      <c r="G31" s="12"/>
      <c r="H31" s="24" t="s">
        <v>272</v>
      </c>
      <c r="I31" s="14"/>
      <c r="J31" s="14"/>
      <c r="K31" s="37">
        <f t="shared" si="8"/>
        <v>3.3333333333333335E-3</v>
      </c>
      <c r="L31" s="37">
        <v>0.01</v>
      </c>
      <c r="M31" s="37">
        <v>0</v>
      </c>
      <c r="N31" s="37">
        <v>0</v>
      </c>
      <c r="P31" s="16"/>
      <c r="Q31" s="16"/>
    </row>
    <row r="32" spans="1:17" ht="90" x14ac:dyDescent="0.25">
      <c r="A32" s="12" t="s">
        <v>284</v>
      </c>
      <c r="B32" s="12" t="s">
        <v>338</v>
      </c>
      <c r="C32" s="15"/>
      <c r="D32" s="12"/>
      <c r="E32" s="12"/>
      <c r="F32" s="12"/>
      <c r="G32" s="12"/>
      <c r="H32" s="24" t="s">
        <v>281</v>
      </c>
      <c r="I32" s="14"/>
      <c r="J32" s="14"/>
      <c r="K32" s="37">
        <f t="shared" ref="K32:K33" si="9">AVERAGE(L32:N32)</f>
        <v>3.3333333333333335E-3</v>
      </c>
      <c r="L32" s="37">
        <v>0.01</v>
      </c>
      <c r="M32" s="37">
        <v>0</v>
      </c>
      <c r="N32" s="37">
        <v>0</v>
      </c>
      <c r="P32" s="16"/>
      <c r="Q32" s="16"/>
    </row>
    <row r="33" spans="1:17" ht="90" x14ac:dyDescent="0.25">
      <c r="A33" s="12" t="s">
        <v>260</v>
      </c>
      <c r="B33" s="12" t="s">
        <v>339</v>
      </c>
      <c r="C33" s="15"/>
      <c r="D33" s="12"/>
      <c r="E33" s="12"/>
      <c r="F33" s="12"/>
      <c r="G33" s="12"/>
      <c r="H33" s="24" t="s">
        <v>315</v>
      </c>
      <c r="I33" s="14"/>
      <c r="J33" s="14"/>
      <c r="K33" s="37">
        <f t="shared" si="9"/>
        <v>3.3333333333333335E-3</v>
      </c>
      <c r="L33" s="37">
        <v>0.01</v>
      </c>
      <c r="M33" s="37">
        <v>0</v>
      </c>
      <c r="N33" s="37">
        <v>0</v>
      </c>
      <c r="P33" s="16"/>
      <c r="Q33" s="16"/>
    </row>
    <row r="34" spans="1:17" ht="75" x14ac:dyDescent="0.25">
      <c r="A34" s="12" t="s">
        <v>344</v>
      </c>
      <c r="B34" s="12" t="s">
        <v>340</v>
      </c>
      <c r="C34" s="15"/>
      <c r="D34" s="12"/>
      <c r="E34" s="12"/>
      <c r="F34" s="12"/>
      <c r="G34" s="12"/>
      <c r="H34" s="24" t="s">
        <v>345</v>
      </c>
      <c r="I34" s="14"/>
      <c r="J34" s="14"/>
      <c r="K34" s="37">
        <f t="shared" ref="K34:K37" si="10">AVERAGE(L34:N34)</f>
        <v>3.3333333333333335E-3</v>
      </c>
      <c r="L34" s="37">
        <v>0.01</v>
      </c>
      <c r="M34" s="37">
        <v>0</v>
      </c>
      <c r="N34" s="37">
        <v>0</v>
      </c>
      <c r="P34" s="16"/>
      <c r="Q34" s="16"/>
    </row>
    <row r="35" spans="1:17" ht="60" x14ac:dyDescent="0.25">
      <c r="A35" s="12" t="s">
        <v>346</v>
      </c>
      <c r="B35" s="12" t="s">
        <v>341</v>
      </c>
      <c r="C35" s="15"/>
      <c r="D35" s="12"/>
      <c r="E35" s="12"/>
      <c r="F35" s="12"/>
      <c r="G35" s="12"/>
      <c r="H35" s="24" t="s">
        <v>347</v>
      </c>
      <c r="I35" s="14"/>
      <c r="J35" s="14"/>
      <c r="K35" s="37">
        <f t="shared" si="10"/>
        <v>3.3333333333333335E-3</v>
      </c>
      <c r="L35" s="37">
        <v>0.01</v>
      </c>
      <c r="M35" s="37">
        <v>0</v>
      </c>
      <c r="N35" s="37">
        <v>0</v>
      </c>
      <c r="P35" s="38" t="s">
        <v>348</v>
      </c>
      <c r="Q35" s="16"/>
    </row>
    <row r="36" spans="1:17" ht="90" x14ac:dyDescent="0.25">
      <c r="A36" s="12" t="s">
        <v>260</v>
      </c>
      <c r="B36" s="12" t="s">
        <v>342</v>
      </c>
      <c r="C36" s="15"/>
      <c r="D36" s="12"/>
      <c r="E36" s="12"/>
      <c r="F36" s="12"/>
      <c r="G36" s="12"/>
      <c r="H36" s="24" t="s">
        <v>315</v>
      </c>
      <c r="I36" s="14"/>
      <c r="J36" s="14"/>
      <c r="K36" s="37">
        <f t="shared" si="10"/>
        <v>3.3333333333333335E-3</v>
      </c>
      <c r="L36" s="37">
        <v>0.01</v>
      </c>
      <c r="M36" s="37">
        <v>0</v>
      </c>
      <c r="N36" s="37">
        <v>0</v>
      </c>
      <c r="P36" s="16"/>
      <c r="Q36" s="16"/>
    </row>
    <row r="37" spans="1:17" ht="90" x14ac:dyDescent="0.25">
      <c r="A37" s="12" t="s">
        <v>282</v>
      </c>
      <c r="B37" s="12" t="s">
        <v>343</v>
      </c>
      <c r="C37" s="15"/>
      <c r="D37" s="12"/>
      <c r="E37" s="12"/>
      <c r="F37" s="12"/>
      <c r="G37" s="12"/>
      <c r="H37" s="24" t="s">
        <v>283</v>
      </c>
      <c r="I37" s="14"/>
      <c r="J37" s="14"/>
      <c r="K37" s="37">
        <f t="shared" si="10"/>
        <v>3.3333333333333335E-3</v>
      </c>
      <c r="L37" s="37">
        <v>0.01</v>
      </c>
      <c r="M37" s="37">
        <v>0</v>
      </c>
      <c r="N37" s="37">
        <v>0</v>
      </c>
      <c r="P37" s="16"/>
      <c r="Q37" s="16"/>
    </row>
    <row r="38" spans="1:17" ht="90" x14ac:dyDescent="0.25">
      <c r="A38" s="12" t="s">
        <v>260</v>
      </c>
      <c r="B38" s="12" t="s">
        <v>349</v>
      </c>
      <c r="C38" s="15"/>
      <c r="D38" s="12"/>
      <c r="E38" s="12"/>
      <c r="F38" s="12"/>
      <c r="G38" s="12"/>
      <c r="H38" s="24" t="s">
        <v>315</v>
      </c>
      <c r="I38" s="14"/>
      <c r="J38" s="14"/>
      <c r="K38" s="37">
        <f t="shared" ref="K38" si="11">AVERAGE(L38:N38)</f>
        <v>3.3333333333333335E-3</v>
      </c>
      <c r="L38" s="37">
        <v>0.01</v>
      </c>
      <c r="M38" s="37">
        <v>0</v>
      </c>
      <c r="N38" s="37">
        <v>0</v>
      </c>
      <c r="P38" s="16"/>
      <c r="Q38" s="16"/>
    </row>
    <row r="39" spans="1:17" ht="90" x14ac:dyDescent="0.25">
      <c r="A39" s="12" t="s">
        <v>292</v>
      </c>
      <c r="B39" s="12" t="s">
        <v>350</v>
      </c>
      <c r="C39" s="15"/>
      <c r="D39" s="12"/>
      <c r="E39" s="36"/>
      <c r="F39" s="12"/>
      <c r="G39" s="12"/>
      <c r="H39" s="24" t="s">
        <v>293</v>
      </c>
      <c r="I39" s="14"/>
      <c r="J39" s="14"/>
      <c r="K39" s="37">
        <f t="shared" ref="K39:K40" si="12">AVERAGE(L39:N39)</f>
        <v>3.3333333333333335E-3</v>
      </c>
      <c r="L39" s="37">
        <v>0.01</v>
      </c>
      <c r="M39" s="37">
        <v>0</v>
      </c>
      <c r="N39" s="37">
        <v>0</v>
      </c>
      <c r="P39" s="16"/>
      <c r="Q39" s="16"/>
    </row>
    <row r="40" spans="1:17" ht="90" x14ac:dyDescent="0.25">
      <c r="A40" s="12" t="s">
        <v>352</v>
      </c>
      <c r="B40" s="12" t="s">
        <v>351</v>
      </c>
      <c r="C40" s="15">
        <v>4315</v>
      </c>
      <c r="D40" s="12"/>
      <c r="E40" s="36"/>
      <c r="F40" s="12"/>
      <c r="G40" s="12"/>
      <c r="H40" s="24" t="s">
        <v>354</v>
      </c>
      <c r="I40" s="14"/>
      <c r="J40" s="14"/>
      <c r="K40" s="37">
        <f t="shared" si="12"/>
        <v>3.3333333333333335E-3</v>
      </c>
      <c r="L40" s="37">
        <v>0.01</v>
      </c>
      <c r="M40" s="37">
        <v>0</v>
      </c>
      <c r="N40" s="37">
        <v>0</v>
      </c>
      <c r="P40" s="16"/>
      <c r="Q40" s="16"/>
    </row>
    <row r="41" spans="1:17" ht="90" x14ac:dyDescent="0.25">
      <c r="A41" s="12" t="s">
        <v>284</v>
      </c>
      <c r="B41" s="12" t="s">
        <v>353</v>
      </c>
      <c r="C41" s="15">
        <v>4310</v>
      </c>
      <c r="D41" s="12"/>
      <c r="E41" s="36"/>
      <c r="F41" s="12"/>
      <c r="G41" s="12"/>
      <c r="H41" s="24" t="s">
        <v>281</v>
      </c>
      <c r="I41" s="14" t="s">
        <v>309</v>
      </c>
      <c r="J41" s="14"/>
      <c r="K41" s="37">
        <f t="shared" ref="K41:K42" si="13">AVERAGE(L41:N41)</f>
        <v>3.3333333333333335E-3</v>
      </c>
      <c r="L41" s="37">
        <v>0.01</v>
      </c>
      <c r="M41" s="37">
        <v>0</v>
      </c>
      <c r="N41" s="37">
        <v>0</v>
      </c>
      <c r="P41" s="16"/>
      <c r="Q41" s="16"/>
    </row>
    <row r="42" spans="1:17" ht="90" x14ac:dyDescent="0.25">
      <c r="A42" s="12" t="s">
        <v>292</v>
      </c>
      <c r="B42" s="12" t="s">
        <v>355</v>
      </c>
      <c r="C42" s="15">
        <v>12858</v>
      </c>
      <c r="D42" s="12"/>
      <c r="E42" s="36" t="s">
        <v>356</v>
      </c>
      <c r="F42" s="36" t="s">
        <v>356</v>
      </c>
      <c r="G42" s="12"/>
      <c r="H42" s="24" t="s">
        <v>293</v>
      </c>
      <c r="I42" s="14">
        <v>46268</v>
      </c>
      <c r="J42" s="14" t="s">
        <v>67</v>
      </c>
      <c r="K42" s="37">
        <f t="shared" si="13"/>
        <v>3.3333333333333335E-3</v>
      </c>
      <c r="L42" s="37">
        <v>0.01</v>
      </c>
      <c r="M42" s="37">
        <v>0</v>
      </c>
      <c r="N42" s="37">
        <v>0</v>
      </c>
      <c r="P42" s="16"/>
      <c r="Q42" s="16"/>
    </row>
  </sheetData>
  <phoneticPr fontId="5" type="noConversion"/>
  <hyperlinks>
    <hyperlink ref="P35" r:id="rId1" xr:uid="{98105506-64B6-4747-95DC-0CED951FD614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255</v>
      </c>
      <c r="B1" s="18" t="s">
        <v>256</v>
      </c>
      <c r="C1" s="19" t="s">
        <v>257</v>
      </c>
      <c r="D1" s="18" t="s">
        <v>254</v>
      </c>
      <c r="E1" s="30" t="s">
        <v>3</v>
      </c>
      <c r="F1" s="18"/>
      <c r="G1" s="18" t="s">
        <v>259</v>
      </c>
      <c r="H1" s="26" t="s">
        <v>258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260</v>
      </c>
      <c r="G10" s="20" t="s">
        <v>262</v>
      </c>
      <c r="H10" s="25" t="s">
        <v>261</v>
      </c>
    </row>
    <row r="11" spans="1:14" ht="165" x14ac:dyDescent="0.25">
      <c r="A11" t="s">
        <v>263</v>
      </c>
      <c r="G11" t="s">
        <v>265</v>
      </c>
      <c r="H11" s="2" t="s">
        <v>264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268</v>
      </c>
      <c r="B12" t="s">
        <v>269</v>
      </c>
      <c r="C12">
        <v>2547</v>
      </c>
      <c r="D12" t="s">
        <v>270</v>
      </c>
      <c r="E12" t="s">
        <v>50</v>
      </c>
      <c r="G12" t="s">
        <v>271</v>
      </c>
      <c r="H12" s="2" t="s">
        <v>267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2026-09-04T11:44:08Z</dcterms:modified>
</cp:coreProperties>
</file>